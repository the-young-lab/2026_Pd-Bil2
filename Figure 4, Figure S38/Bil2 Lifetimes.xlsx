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Andrea Dorsa’s files/Young Lab Data/Pd Complexes/TAS Data/Biladienes/Bil2/"/>
    </mc:Choice>
  </mc:AlternateContent>
  <xr:revisionPtr revIDLastSave="0" documentId="13_ncr:1_{9269F4E0-D5A1-F74E-B202-0E27C783BCE9}" xr6:coauthVersionLast="47" xr6:coauthVersionMax="47" xr10:uidLastSave="{00000000-0000-0000-0000-000000000000}"/>
  <bookViews>
    <workbookView xWindow="0" yWindow="500" windowWidth="28800" windowHeight="15780" xr2:uid="{00000000-000D-0000-FFFF-FFFF00000000}"/>
  </bookViews>
  <sheets>
    <sheet name="DMBil2-OMe" sheetId="4" r:id="rId1"/>
    <sheet name="DMBil2-H" sheetId="1" r:id="rId2"/>
    <sheet name="DMBil2-CF3" sheetId="5" r:id="rId3"/>
    <sheet name="Hammett vs. Lifetim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N20" i="1"/>
  <c r="M20" i="1"/>
  <c r="L20" i="1"/>
  <c r="O19" i="1"/>
  <c r="N19" i="1"/>
  <c r="M19" i="1"/>
  <c r="L19" i="1"/>
  <c r="F20" i="1"/>
  <c r="E20" i="1"/>
  <c r="D20" i="1"/>
  <c r="C20" i="1"/>
  <c r="F19" i="1"/>
  <c r="E19" i="1"/>
  <c r="D19" i="1"/>
  <c r="C19" i="1"/>
  <c r="K18" i="4"/>
  <c r="J18" i="4"/>
  <c r="I18" i="4"/>
  <c r="H18" i="4"/>
  <c r="E18" i="4"/>
  <c r="D18" i="4"/>
  <c r="C18" i="4"/>
  <c r="B18" i="4"/>
  <c r="K17" i="4"/>
  <c r="J17" i="4"/>
  <c r="I17" i="4"/>
  <c r="H17" i="4"/>
  <c r="E17" i="4"/>
  <c r="D17" i="4"/>
  <c r="C17" i="4"/>
  <c r="B17" i="4"/>
  <c r="K18" i="5"/>
  <c r="J18" i="5"/>
  <c r="I18" i="5"/>
  <c r="H18" i="5"/>
  <c r="E18" i="5"/>
  <c r="D18" i="5"/>
  <c r="C18" i="5"/>
  <c r="B18" i="5"/>
  <c r="K17" i="5"/>
  <c r="J17" i="5"/>
  <c r="I17" i="5"/>
  <c r="H17" i="5"/>
  <c r="E17" i="5"/>
  <c r="D17" i="5"/>
  <c r="C17" i="5"/>
  <c r="B17" i="5"/>
  <c r="E7" i="5"/>
  <c r="D7" i="5"/>
  <c r="C7" i="5"/>
  <c r="E6" i="5"/>
  <c r="D6" i="5"/>
  <c r="C6" i="5"/>
  <c r="E7" i="4"/>
  <c r="D7" i="4"/>
  <c r="C7" i="4"/>
  <c r="E6" i="4"/>
  <c r="D6" i="4"/>
  <c r="C6" i="4"/>
  <c r="E7" i="1"/>
  <c r="D7" i="1"/>
  <c r="C7" i="1"/>
  <c r="E6" i="1"/>
  <c r="D6" i="1"/>
  <c r="C6" i="1"/>
</calcChain>
</file>

<file path=xl/sharedStrings.xml><?xml version="1.0" encoding="utf-8"?>
<sst xmlns="http://schemas.openxmlformats.org/spreadsheetml/2006/main" count="134" uniqueCount="65">
  <si>
    <t>Pd[DMBil2-H]</t>
  </si>
  <si>
    <t>Trial #</t>
  </si>
  <si>
    <t>Date</t>
  </si>
  <si>
    <t>ps</t>
  </si>
  <si>
    <t>1*</t>
  </si>
  <si>
    <t>2*</t>
  </si>
  <si>
    <t>abs spectrum, ns SI, DADS</t>
  </si>
  <si>
    <t>3*</t>
  </si>
  <si>
    <t>rep specs</t>
  </si>
  <si>
    <t>Average</t>
  </si>
  <si>
    <t>Std Dev</t>
  </si>
  <si>
    <t>3.1 +/- 1.8</t>
  </si>
  <si>
    <t>33 +/- 5</t>
  </si>
  <si>
    <t>12 +/- 3</t>
  </si>
  <si>
    <t>*Zach's trials</t>
  </si>
  <si>
    <t>11,14Apr2025</t>
  </si>
  <si>
    <t>rep specs, DADS, kinetics</t>
  </si>
  <si>
    <t>ns fit</t>
  </si>
  <si>
    <t>0.99 +/- 0.13</t>
  </si>
  <si>
    <t>21.8 +/- 1.5</t>
  </si>
  <si>
    <t>120 +/- 50</t>
  </si>
  <si>
    <t>11.8 +/- 1.1</t>
  </si>
  <si>
    <t>DADS, kinetics, rep specs, ns fit</t>
  </si>
  <si>
    <t>0.94 +/- 0.08</t>
  </si>
  <si>
    <t>27.1 +/- 1.6</t>
  </si>
  <si>
    <t>120 +/- 6</t>
  </si>
  <si>
    <t>11 +/- 4</t>
  </si>
  <si>
    <t>Pd[DMBil2-OMe]</t>
  </si>
  <si>
    <t>ns SI</t>
  </si>
  <si>
    <t xml:space="preserve">rep specs, abs spectrum, DADS </t>
  </si>
  <si>
    <t>2.1 +/- 0.4</t>
  </si>
  <si>
    <t>27.2 +/- 2.4</t>
  </si>
  <si>
    <t>7.1 +/- 0.5</t>
  </si>
  <si>
    <t>Pd[DMBil2-CF3]</t>
  </si>
  <si>
    <t>rep specs, abs spectrum, DADS, ns SI</t>
  </si>
  <si>
    <t>2.5 +/- 0.9</t>
  </si>
  <si>
    <t>31.0 +/- 1.2</t>
  </si>
  <si>
    <t>12.5 +/- 2.0</t>
  </si>
  <si>
    <t>480 nm</t>
  </si>
  <si>
    <t>375 nm</t>
  </si>
  <si>
    <t>** mine</t>
  </si>
  <si>
    <t>0.91 +/- 0.04</t>
  </si>
  <si>
    <t>27.3 +/- 0.5</t>
  </si>
  <si>
    <t>200 +/- 70</t>
  </si>
  <si>
    <t>10.9 +/- 0.4</t>
  </si>
  <si>
    <t>0.91 +/- 0.08</t>
  </si>
  <si>
    <t>23.9 +/- 1.7</t>
  </si>
  <si>
    <t>140 +/- 30</t>
  </si>
  <si>
    <t>12.2 +/- 0.6</t>
  </si>
  <si>
    <t>t1 (ps)</t>
  </si>
  <si>
    <t>t2 (ps)</t>
  </si>
  <si>
    <t>t3 (us)</t>
  </si>
  <si>
    <t xml:space="preserve"> </t>
  </si>
  <si>
    <t>H</t>
  </si>
  <si>
    <t>OMe</t>
  </si>
  <si>
    <t>CF3</t>
  </si>
  <si>
    <r>
      <rPr>
        <sz val="10"/>
        <color theme="1"/>
        <rFont val="Symbol"/>
        <charset val="2"/>
      </rPr>
      <t>m</t>
    </r>
    <r>
      <rPr>
        <sz val="10"/>
        <color theme="1"/>
        <rFont val="Arial"/>
        <family val="2"/>
      </rPr>
      <t>s</t>
    </r>
  </si>
  <si>
    <t>7.1 +/- 0.9</t>
  </si>
  <si>
    <t>6.8 +/- 0.6</t>
  </si>
  <si>
    <t>1.51 +/- 0.17</t>
  </si>
  <si>
    <t>22.7 +/- 1.6</t>
  </si>
  <si>
    <t>220 +/- 160</t>
  </si>
  <si>
    <t>1.4 +/- 0.3</t>
  </si>
  <si>
    <t>25.3 +/- 0.6</t>
  </si>
  <si>
    <t>160 +/- 60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</si>
</sst>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yyyy"/>
  </numFmts>
  <fonts count="9" x14ac:knownFonts="1">
    <font>
      <sz val="10"/>
      <color rgb="FF000000"/>
      <name val="Arial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1F1F1F"/>
      <name val="Arial"/>
      <family val="2"/>
    </font>
    <font>
      <sz val="10"/>
      <color theme="1"/>
      <name val="Symbol"/>
      <charset val="2"/>
    </font>
    <font>
      <sz val="10"/>
      <color theme="1"/>
      <name val="Arial"/>
      <family val="2"/>
      <charset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3" fillId="0" borderId="0" xfId="0" applyFont="1"/>
    <xf numFmtId="0" fontId="2" fillId="0" borderId="1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4" fillId="0" borderId="0" xfId="0" applyFont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2" fillId="0" borderId="2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5" xfId="0" applyFont="1" applyBorder="1"/>
    <xf numFmtId="0" fontId="5" fillId="0" borderId="6" xfId="0" applyFont="1" applyBorder="1"/>
    <xf numFmtId="0" fontId="5" fillId="0" borderId="4" xfId="0" applyFont="1" applyBorder="1"/>
    <xf numFmtId="0" fontId="5" fillId="0" borderId="5" xfId="0" applyFont="1" applyBorder="1"/>
    <xf numFmtId="0" fontId="2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3" borderId="1" xfId="0" applyFont="1" applyFill="1" applyBorder="1"/>
    <xf numFmtId="0" fontId="6" fillId="3" borderId="2" xfId="0" applyFont="1" applyFill="1" applyBorder="1"/>
    <xf numFmtId="0" fontId="2" fillId="0" borderId="9" xfId="0" applyFont="1" applyBorder="1" applyAlignment="1">
      <alignment horizontal="right"/>
    </xf>
    <xf numFmtId="0" fontId="2" fillId="4" borderId="0" xfId="0" applyFont="1" applyFill="1" applyAlignment="1">
      <alignment horizontal="right"/>
    </xf>
    <xf numFmtId="0" fontId="8" fillId="0" borderId="1" xfId="0" applyFont="1" applyBorder="1"/>
    <xf numFmtId="0" fontId="2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'Hammett vs. Lifetime'!$A$1:$A$3</c:f>
              <c:numCache>
                <c:formatCode>General</c:formatCode>
                <c:ptCount val="3"/>
                <c:pt idx="0">
                  <c:v>0</c:v>
                </c:pt>
                <c:pt idx="1">
                  <c:v>0.54</c:v>
                </c:pt>
                <c:pt idx="2">
                  <c:v>-0.27</c:v>
                </c:pt>
              </c:numCache>
            </c:numRef>
          </c:xVal>
          <c:yVal>
            <c:numRef>
              <c:f>'Hammett vs. Lifetime'!$B$1:$B$3</c:f>
              <c:numCache>
                <c:formatCode>General</c:formatCode>
                <c:ptCount val="3"/>
                <c:pt idx="0">
                  <c:v>3.1</c:v>
                </c:pt>
                <c:pt idx="1">
                  <c:v>2.5</c:v>
                </c:pt>
                <c:pt idx="2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D8-FB4B-A3C6-3CCD4D58D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579930"/>
        <c:axId val="367116738"/>
      </c:scatterChart>
      <c:valAx>
        <c:axId val="16835799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7116738"/>
        <c:crosses val="autoZero"/>
        <c:crossBetween val="midCat"/>
      </c:valAx>
      <c:valAx>
        <c:axId val="367116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357993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'Hammett vs. Lifetime'!$A$4:$A$6</c:f>
              <c:numCache>
                <c:formatCode>General</c:formatCode>
                <c:ptCount val="3"/>
                <c:pt idx="0">
                  <c:v>0</c:v>
                </c:pt>
                <c:pt idx="1">
                  <c:v>0.54</c:v>
                </c:pt>
                <c:pt idx="2">
                  <c:v>-0.27</c:v>
                </c:pt>
              </c:numCache>
            </c:numRef>
          </c:xVal>
          <c:yVal>
            <c:numRef>
              <c:f>'Hammett vs. Lifetime'!$B$4:$B$6</c:f>
              <c:numCache>
                <c:formatCode>General</c:formatCode>
                <c:ptCount val="3"/>
                <c:pt idx="0">
                  <c:v>34</c:v>
                </c:pt>
                <c:pt idx="1">
                  <c:v>31</c:v>
                </c:pt>
                <c:pt idx="2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58-684B-8C4A-F04F6E998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81223"/>
        <c:axId val="366869469"/>
      </c:scatterChart>
      <c:valAx>
        <c:axId val="11593812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6869469"/>
        <c:crosses val="autoZero"/>
        <c:crossBetween val="midCat"/>
      </c:valAx>
      <c:valAx>
        <c:axId val="366869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938122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'Hammett vs. Lifetime'!$A$7:$A$9</c:f>
              <c:numCache>
                <c:formatCode>General</c:formatCode>
                <c:ptCount val="3"/>
                <c:pt idx="0">
                  <c:v>0</c:v>
                </c:pt>
                <c:pt idx="1">
                  <c:v>0.54</c:v>
                </c:pt>
                <c:pt idx="2">
                  <c:v>-0.27</c:v>
                </c:pt>
              </c:numCache>
            </c:numRef>
          </c:xVal>
          <c:yVal>
            <c:numRef>
              <c:f>'Hammett vs. Lifetime'!$B$7:$B$9</c:f>
              <c:numCache>
                <c:formatCode>General</c:formatCode>
                <c:ptCount val="3"/>
                <c:pt idx="0">
                  <c:v>12</c:v>
                </c:pt>
                <c:pt idx="1">
                  <c:v>13</c:v>
                </c:pt>
                <c:pt idx="2">
                  <c:v>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FF-0249-ACF3-3184AC494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39548"/>
        <c:axId val="435465279"/>
      </c:scatterChart>
      <c:valAx>
        <c:axId val="2950395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5465279"/>
        <c:crosses val="autoZero"/>
        <c:crossBetween val="midCat"/>
      </c:valAx>
      <c:valAx>
        <c:axId val="435465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503954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38100</xdr:rowOff>
    </xdr:from>
    <xdr:ext cx="2714625" cy="16764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47625</xdr:colOff>
      <xdr:row>9</xdr:row>
      <xdr:rowOff>123825</xdr:rowOff>
    </xdr:from>
    <xdr:ext cx="2714625" cy="16764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123825</xdr:colOff>
      <xdr:row>0</xdr:row>
      <xdr:rowOff>0</xdr:rowOff>
    </xdr:from>
    <xdr:ext cx="2714625" cy="16764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1"/>
  <sheetViews>
    <sheetView tabSelected="1" workbookViewId="0">
      <selection activeCell="B22" sqref="B22"/>
    </sheetView>
  </sheetViews>
  <sheetFormatPr baseColWidth="10" defaultColWidth="12.6640625" defaultRowHeight="15.75" customHeight="1" x14ac:dyDescent="0.15"/>
  <cols>
    <col min="1" max="1" width="13.6640625" customWidth="1"/>
  </cols>
  <sheetData>
    <row r="1" spans="1:13" ht="15.75" customHeight="1" x14ac:dyDescent="0.15">
      <c r="A1" s="1" t="s">
        <v>27</v>
      </c>
      <c r="B1" s="2"/>
      <c r="C1" s="2"/>
      <c r="D1" s="2"/>
    </row>
    <row r="2" spans="1:13" ht="15.75" customHeight="1" x14ac:dyDescent="0.15">
      <c r="A2" s="3" t="s">
        <v>1</v>
      </c>
      <c r="B2" s="4" t="s">
        <v>2</v>
      </c>
      <c r="C2" s="3" t="s">
        <v>3</v>
      </c>
      <c r="D2" s="3" t="s">
        <v>3</v>
      </c>
      <c r="E2" s="29" t="s">
        <v>56</v>
      </c>
    </row>
    <row r="3" spans="1:13" ht="15.75" customHeight="1" x14ac:dyDescent="0.15">
      <c r="A3" s="5">
        <v>1</v>
      </c>
      <c r="B3" s="6">
        <v>45610</v>
      </c>
      <c r="C3" s="5">
        <v>1.821</v>
      </c>
      <c r="D3" s="5">
        <v>26.388000000000002</v>
      </c>
      <c r="E3" s="5">
        <v>6.5519999999999996</v>
      </c>
    </row>
    <row r="4" spans="1:13" ht="15.75" customHeight="1" x14ac:dyDescent="0.15">
      <c r="A4" s="5">
        <v>2</v>
      </c>
      <c r="B4" s="6">
        <v>45618</v>
      </c>
      <c r="C4" s="5">
        <v>2.544</v>
      </c>
      <c r="D4" s="5">
        <v>29.89</v>
      </c>
      <c r="E4" s="5">
        <v>7.1</v>
      </c>
      <c r="F4" s="7" t="s">
        <v>28</v>
      </c>
    </row>
    <row r="5" spans="1:13" ht="15.75" customHeight="1" x14ac:dyDescent="0.15">
      <c r="A5" s="8">
        <v>3</v>
      </c>
      <c r="B5" s="9">
        <v>45623</v>
      </c>
      <c r="C5" s="8">
        <v>2.1150000000000002</v>
      </c>
      <c r="D5" s="8">
        <v>25.186</v>
      </c>
      <c r="E5" s="8">
        <v>7.548</v>
      </c>
      <c r="F5" s="7" t="s">
        <v>29</v>
      </c>
    </row>
    <row r="6" spans="1:13" ht="15.75" customHeight="1" x14ac:dyDescent="0.15">
      <c r="A6" s="2"/>
      <c r="B6" s="10" t="s">
        <v>9</v>
      </c>
      <c r="C6" s="5">
        <f t="shared" ref="C6:E6" si="0">AVERAGE(C3:C5)</f>
        <v>2.16</v>
      </c>
      <c r="D6" s="5">
        <f t="shared" si="0"/>
        <v>27.154666666666667</v>
      </c>
      <c r="E6" s="5">
        <f t="shared" si="0"/>
        <v>7.0666666666666664</v>
      </c>
    </row>
    <row r="7" spans="1:13" ht="15.75" customHeight="1" x14ac:dyDescent="0.15">
      <c r="A7" s="2"/>
      <c r="B7" s="10" t="s">
        <v>10</v>
      </c>
      <c r="C7" s="5">
        <f t="shared" ref="C7:E7" si="1">STDEV(C3:C5)</f>
        <v>0.36359455441466576</v>
      </c>
      <c r="D7" s="5">
        <f t="shared" si="1"/>
        <v>2.4439184383553667</v>
      </c>
      <c r="E7" s="5">
        <f t="shared" si="1"/>
        <v>0.49883597838701804</v>
      </c>
    </row>
    <row r="8" spans="1:13" ht="15.75" customHeight="1" x14ac:dyDescent="0.15">
      <c r="A8" s="2"/>
      <c r="B8" s="2"/>
      <c r="C8" s="2"/>
      <c r="D8" s="2"/>
      <c r="E8" s="2"/>
    </row>
    <row r="9" spans="1:13" ht="15.75" customHeight="1" x14ac:dyDescent="0.15">
      <c r="A9" s="2"/>
      <c r="B9" s="2"/>
      <c r="C9" s="5" t="s">
        <v>30</v>
      </c>
      <c r="D9" s="5" t="s">
        <v>31</v>
      </c>
      <c r="E9" s="5" t="s">
        <v>32</v>
      </c>
    </row>
    <row r="10" spans="1:13" ht="15.75" customHeight="1" x14ac:dyDescent="0.15">
      <c r="A10" s="2"/>
      <c r="B10" s="2"/>
      <c r="C10" s="5">
        <v>2.1</v>
      </c>
      <c r="D10" s="5">
        <v>27</v>
      </c>
      <c r="E10" s="5">
        <v>7.1</v>
      </c>
    </row>
    <row r="11" spans="1:13" ht="15.75" customHeight="1" x14ac:dyDescent="0.15">
      <c r="A11" s="2"/>
      <c r="B11" s="2"/>
      <c r="C11" s="2"/>
      <c r="D11" s="2"/>
    </row>
    <row r="12" spans="1:13" ht="15.75" customHeight="1" x14ac:dyDescent="0.15">
      <c r="A12" s="13" t="s">
        <v>38</v>
      </c>
      <c r="F12" s="13"/>
      <c r="G12" s="13" t="s">
        <v>39</v>
      </c>
    </row>
    <row r="13" spans="1:13" ht="15.75" customHeight="1" thickBot="1" x14ac:dyDescent="0.2">
      <c r="A13" s="4" t="s">
        <v>1</v>
      </c>
      <c r="B13" s="3" t="s">
        <v>3</v>
      </c>
      <c r="C13" s="3" t="s">
        <v>3</v>
      </c>
      <c r="D13" s="3" t="s">
        <v>3</v>
      </c>
      <c r="E13" s="29" t="s">
        <v>56</v>
      </c>
      <c r="F13" s="2"/>
      <c r="G13" s="4" t="s">
        <v>1</v>
      </c>
      <c r="H13" s="3" t="s">
        <v>3</v>
      </c>
      <c r="I13" s="3" t="s">
        <v>3</v>
      </c>
      <c r="J13" s="3" t="s">
        <v>3</v>
      </c>
      <c r="K13" s="29" t="s">
        <v>56</v>
      </c>
    </row>
    <row r="14" spans="1:13" ht="15.75" customHeight="1" x14ac:dyDescent="0.15">
      <c r="A14" s="11">
        <v>1</v>
      </c>
      <c r="B14" s="5">
        <v>1.0660000000000001</v>
      </c>
      <c r="C14" s="5">
        <v>24.542000000000002</v>
      </c>
      <c r="D14" s="5">
        <v>86.406999999999996</v>
      </c>
      <c r="E14" s="28">
        <v>7.1840000000000002</v>
      </c>
      <c r="F14" s="2"/>
      <c r="G14" s="11">
        <v>1</v>
      </c>
      <c r="H14" s="5">
        <v>1.603</v>
      </c>
      <c r="I14" s="5">
        <v>21.936</v>
      </c>
      <c r="J14" s="5">
        <v>128.375</v>
      </c>
      <c r="K14" s="28">
        <v>7.4180000000000001</v>
      </c>
      <c r="M14" s="15" t="s">
        <v>40</v>
      </c>
    </row>
    <row r="15" spans="1:13" ht="15.75" customHeight="1" x14ac:dyDescent="0.15">
      <c r="A15" s="11">
        <v>2</v>
      </c>
      <c r="B15" s="5">
        <v>1.61</v>
      </c>
      <c r="C15" s="5">
        <v>25.765000000000001</v>
      </c>
      <c r="D15" s="5">
        <v>202.691</v>
      </c>
      <c r="E15" s="5">
        <v>6.1</v>
      </c>
      <c r="F15" s="2"/>
      <c r="G15" s="11">
        <v>2</v>
      </c>
      <c r="H15" s="5">
        <v>1.6140000000000001</v>
      </c>
      <c r="I15" s="5">
        <v>24.536999999999999</v>
      </c>
      <c r="J15" s="5">
        <v>404.15199999999999</v>
      </c>
      <c r="K15" s="5">
        <v>6.1260000000000003</v>
      </c>
    </row>
    <row r="16" spans="1:13" ht="15.75" customHeight="1" thickBot="1" x14ac:dyDescent="0.2">
      <c r="A16" s="16">
        <v>3</v>
      </c>
      <c r="B16" s="8">
        <v>1.6040000000000001</v>
      </c>
      <c r="C16" s="8">
        <v>25.457000000000001</v>
      </c>
      <c r="D16" s="8">
        <v>185.52099999999999</v>
      </c>
      <c r="E16" s="30">
        <v>7.9189999999999996</v>
      </c>
      <c r="F16" s="2"/>
      <c r="G16" s="16">
        <v>3</v>
      </c>
      <c r="H16" s="8">
        <v>1.31</v>
      </c>
      <c r="I16" s="8">
        <v>21.58</v>
      </c>
      <c r="J16" s="8">
        <v>139.613</v>
      </c>
      <c r="K16" s="27">
        <v>6.7930000000000001</v>
      </c>
    </row>
    <row r="17" spans="1:11" ht="15.75" customHeight="1" x14ac:dyDescent="0.15">
      <c r="A17" s="10" t="s">
        <v>9</v>
      </c>
      <c r="B17" s="5">
        <f t="shared" ref="B17:E17" si="2">AVERAGE(B14:B16)</f>
        <v>1.4266666666666667</v>
      </c>
      <c r="C17" s="5">
        <f t="shared" si="2"/>
        <v>25.254666666666669</v>
      </c>
      <c r="D17" s="5">
        <f t="shared" si="2"/>
        <v>158.20633333333333</v>
      </c>
      <c r="E17" s="5">
        <f t="shared" si="2"/>
        <v>7.0676666666666668</v>
      </c>
      <c r="F17" s="2"/>
      <c r="G17" s="10" t="s">
        <v>9</v>
      </c>
      <c r="H17" s="5">
        <f t="shared" ref="H17:K17" si="3">AVERAGE(H14:H16)</f>
        <v>1.5090000000000001</v>
      </c>
      <c r="I17" s="5">
        <f t="shared" si="3"/>
        <v>22.684333333333331</v>
      </c>
      <c r="J17" s="5">
        <f t="shared" si="3"/>
        <v>224.04666666666671</v>
      </c>
      <c r="K17" s="5">
        <f t="shared" si="3"/>
        <v>6.7789999999999999</v>
      </c>
    </row>
    <row r="18" spans="1:11" ht="15.75" customHeight="1" x14ac:dyDescent="0.15">
      <c r="A18" s="10" t="s">
        <v>10</v>
      </c>
      <c r="B18" s="5">
        <f t="shared" ref="B18:E18" si="4">STDEV(B14:B16)</f>
        <v>0.31236090237629588</v>
      </c>
      <c r="C18" s="5">
        <f t="shared" si="4"/>
        <v>0.63611031538038476</v>
      </c>
      <c r="D18" s="5">
        <f t="shared" si="4"/>
        <v>62.769900631857958</v>
      </c>
      <c r="E18" s="5">
        <f t="shared" si="4"/>
        <v>0.91506302150907393</v>
      </c>
      <c r="F18" s="2"/>
      <c r="G18" s="10" t="s">
        <v>10</v>
      </c>
      <c r="H18" s="5">
        <f t="shared" ref="H18:K18" si="5">STDEV(H14:H16)</f>
        <v>0.17242679606140107</v>
      </c>
      <c r="I18" s="5">
        <f t="shared" si="5"/>
        <v>1.6142999514753551</v>
      </c>
      <c r="J18" s="5">
        <f t="shared" si="5"/>
        <v>156.07697294070414</v>
      </c>
      <c r="K18" s="5">
        <f t="shared" si="5"/>
        <v>0.64611376707202262</v>
      </c>
    </row>
    <row r="19" spans="1:11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1" ht="15.75" customHeight="1" x14ac:dyDescent="0.15">
      <c r="A20" s="2"/>
      <c r="B20" s="5" t="s">
        <v>62</v>
      </c>
      <c r="C20" s="5" t="s">
        <v>63</v>
      </c>
      <c r="D20" s="5" t="s">
        <v>64</v>
      </c>
      <c r="E20" s="5" t="s">
        <v>57</v>
      </c>
      <c r="F20" s="2"/>
      <c r="G20" s="5"/>
      <c r="H20" s="5" t="s">
        <v>59</v>
      </c>
      <c r="I20" s="5" t="s">
        <v>60</v>
      </c>
      <c r="J20" s="5" t="s">
        <v>61</v>
      </c>
      <c r="K20" s="5" t="s">
        <v>58</v>
      </c>
    </row>
    <row r="21" spans="1:11" ht="15.75" customHeight="1" x14ac:dyDescent="0.15">
      <c r="A21" s="2"/>
      <c r="B21" s="5">
        <v>1.4</v>
      </c>
      <c r="C21" s="5">
        <v>25</v>
      </c>
      <c r="D21" s="5">
        <v>160</v>
      </c>
      <c r="E21" s="5">
        <v>7</v>
      </c>
      <c r="F21" s="2"/>
      <c r="G21" s="5"/>
      <c r="H21" s="5">
        <v>1.5</v>
      </c>
      <c r="I21" s="5">
        <v>23</v>
      </c>
      <c r="J21" s="5">
        <v>220</v>
      </c>
      <c r="K21" s="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3"/>
  <sheetViews>
    <sheetView workbookViewId="0">
      <selection activeCell="K31" sqref="K31"/>
    </sheetView>
  </sheetViews>
  <sheetFormatPr baseColWidth="10" defaultColWidth="12.6640625" defaultRowHeight="15.75" customHeight="1" x14ac:dyDescent="0.15"/>
  <cols>
    <col min="1" max="1" width="13.6640625" customWidth="1"/>
  </cols>
  <sheetData>
    <row r="1" spans="1:16" ht="15.75" customHeight="1" x14ac:dyDescent="0.15">
      <c r="A1" s="1" t="s">
        <v>0</v>
      </c>
      <c r="B1" s="2"/>
      <c r="C1" s="2"/>
      <c r="D1" s="2"/>
    </row>
    <row r="2" spans="1:16" ht="15.75" customHeight="1" x14ac:dyDescent="0.15">
      <c r="A2" s="3" t="s">
        <v>1</v>
      </c>
      <c r="B2" s="4" t="s">
        <v>2</v>
      </c>
      <c r="C2" s="3" t="s">
        <v>3</v>
      </c>
      <c r="D2" s="3" t="s">
        <v>3</v>
      </c>
      <c r="E2" s="29" t="s">
        <v>56</v>
      </c>
    </row>
    <row r="3" spans="1:16" ht="15.75" customHeight="1" x14ac:dyDescent="0.15">
      <c r="A3" s="5" t="s">
        <v>4</v>
      </c>
      <c r="B3" s="6">
        <v>45260</v>
      </c>
      <c r="C3" s="5">
        <v>1.7509999999999999</v>
      </c>
      <c r="D3" s="5">
        <v>27.885999999999999</v>
      </c>
      <c r="E3" s="5">
        <v>11.86</v>
      </c>
    </row>
    <row r="4" spans="1:16" ht="15.75" customHeight="1" x14ac:dyDescent="0.15">
      <c r="A4" s="5" t="s">
        <v>5</v>
      </c>
      <c r="B4" s="6">
        <v>45329</v>
      </c>
      <c r="C4" s="5">
        <v>5.1929999999999996</v>
      </c>
      <c r="D4" s="5">
        <v>37.140999999999998</v>
      </c>
      <c r="E4" s="5">
        <v>14.25</v>
      </c>
      <c r="F4" s="7" t="s">
        <v>6</v>
      </c>
    </row>
    <row r="5" spans="1:16" ht="15.75" customHeight="1" x14ac:dyDescent="0.15">
      <c r="A5" s="8" t="s">
        <v>7</v>
      </c>
      <c r="B5" s="9">
        <v>45349</v>
      </c>
      <c r="C5" s="8">
        <v>2.5009999999999999</v>
      </c>
      <c r="D5" s="8">
        <v>32.566000000000003</v>
      </c>
      <c r="E5" s="8">
        <v>9.0760000000000005</v>
      </c>
      <c r="F5" s="7" t="s">
        <v>8</v>
      </c>
    </row>
    <row r="6" spans="1:16" ht="15.75" customHeight="1" x14ac:dyDescent="0.15">
      <c r="A6" s="2"/>
      <c r="B6" s="10" t="s">
        <v>9</v>
      </c>
      <c r="C6" s="5">
        <f t="shared" ref="C6:E6" si="0">AVERAGE(C3:C5)</f>
        <v>3.148333333333333</v>
      </c>
      <c r="D6" s="5">
        <f t="shared" si="0"/>
        <v>32.530999999999999</v>
      </c>
      <c r="E6" s="5">
        <f t="shared" si="0"/>
        <v>11.728666666666667</v>
      </c>
    </row>
    <row r="7" spans="1:16" ht="15.75" customHeight="1" x14ac:dyDescent="0.15">
      <c r="A7" s="2"/>
      <c r="B7" s="10" t="s">
        <v>10</v>
      </c>
      <c r="C7" s="5">
        <f t="shared" ref="C7:E7" si="1">STDEV(C3:C5)</f>
        <v>1.81000589317641</v>
      </c>
      <c r="D7" s="5">
        <f t="shared" si="1"/>
        <v>4.6275992695997088</v>
      </c>
      <c r="E7" s="5">
        <f t="shared" si="1"/>
        <v>2.5894990506531026</v>
      </c>
    </row>
    <row r="8" spans="1:16" ht="15.75" customHeight="1" x14ac:dyDescent="0.15">
      <c r="A8" s="2"/>
      <c r="B8" s="2"/>
      <c r="C8" s="2"/>
      <c r="D8" s="2"/>
      <c r="E8" s="2"/>
    </row>
    <row r="9" spans="1:16" ht="15.75" customHeight="1" x14ac:dyDescent="0.15">
      <c r="A9" s="2"/>
      <c r="B9" s="2"/>
      <c r="C9" s="5" t="s">
        <v>11</v>
      </c>
      <c r="D9" s="5" t="s">
        <v>12</v>
      </c>
      <c r="E9" s="5" t="s">
        <v>13</v>
      </c>
    </row>
    <row r="10" spans="1:16" ht="15.75" customHeight="1" x14ac:dyDescent="0.15">
      <c r="A10" s="2"/>
      <c r="B10" s="2"/>
      <c r="C10" s="5">
        <v>3.1</v>
      </c>
      <c r="D10" s="5">
        <v>34</v>
      </c>
      <c r="E10" s="5">
        <v>12</v>
      </c>
    </row>
    <row r="11" spans="1:16" ht="15.75" customHeight="1" x14ac:dyDescent="0.15">
      <c r="A11" s="2"/>
      <c r="B11" s="2"/>
      <c r="C11" s="2"/>
      <c r="D11" s="2"/>
    </row>
    <row r="12" spans="1:16" ht="15.75" customHeight="1" x14ac:dyDescent="0.15">
      <c r="A12" s="7" t="s">
        <v>14</v>
      </c>
    </row>
    <row r="14" spans="1:16" ht="15.75" customHeight="1" x14ac:dyDescent="0.15">
      <c r="A14" s="13" t="s">
        <v>38</v>
      </c>
      <c r="F14" s="13"/>
      <c r="G14" s="13"/>
      <c r="J14" s="13" t="s">
        <v>39</v>
      </c>
    </row>
    <row r="15" spans="1:16" ht="15.75" customHeight="1" thickBot="1" x14ac:dyDescent="0.2">
      <c r="A15" s="3" t="s">
        <v>1</v>
      </c>
      <c r="B15" s="4" t="s">
        <v>2</v>
      </c>
      <c r="C15" s="3" t="s">
        <v>3</v>
      </c>
      <c r="D15" s="3" t="s">
        <v>3</v>
      </c>
      <c r="E15" s="3" t="s">
        <v>3</v>
      </c>
      <c r="F15" s="29" t="s">
        <v>56</v>
      </c>
      <c r="J15" s="3" t="s">
        <v>1</v>
      </c>
      <c r="K15" s="4" t="s">
        <v>2</v>
      </c>
      <c r="L15" s="3" t="s">
        <v>3</v>
      </c>
      <c r="M15" s="3" t="s">
        <v>3</v>
      </c>
      <c r="N15" s="3" t="s">
        <v>3</v>
      </c>
      <c r="O15" s="29" t="s">
        <v>56</v>
      </c>
    </row>
    <row r="16" spans="1:16" ht="15.75" customHeight="1" x14ac:dyDescent="0.15">
      <c r="A16" s="5">
        <v>1</v>
      </c>
      <c r="B16" s="6">
        <v>45258</v>
      </c>
      <c r="C16" s="5">
        <v>1.028</v>
      </c>
      <c r="D16" s="5">
        <v>25.736000000000001</v>
      </c>
      <c r="E16" s="5">
        <v>120.48699999999999</v>
      </c>
      <c r="F16" s="5">
        <v>8.0760000000000005</v>
      </c>
      <c r="J16" s="5">
        <v>1</v>
      </c>
      <c r="K16" s="11" t="s">
        <v>15</v>
      </c>
      <c r="L16" s="5">
        <v>1.006</v>
      </c>
      <c r="M16" s="5">
        <v>22.137</v>
      </c>
      <c r="N16" s="5">
        <v>120.496</v>
      </c>
      <c r="O16" s="5">
        <v>10.55</v>
      </c>
      <c r="P16" s="7" t="s">
        <v>16</v>
      </c>
    </row>
    <row r="17" spans="1:16" ht="15.75" customHeight="1" x14ac:dyDescent="0.15">
      <c r="A17" s="5">
        <v>2</v>
      </c>
      <c r="B17" s="6">
        <v>45304</v>
      </c>
      <c r="C17" s="5">
        <v>0.94</v>
      </c>
      <c r="D17" s="5">
        <v>28.943000000000001</v>
      </c>
      <c r="E17" s="5">
        <v>126.279</v>
      </c>
      <c r="F17" s="5">
        <v>15.99</v>
      </c>
      <c r="J17" s="5">
        <v>2</v>
      </c>
      <c r="K17" s="11" t="s">
        <v>15</v>
      </c>
      <c r="L17" s="5">
        <v>0.85899999999999999</v>
      </c>
      <c r="M17" s="5">
        <v>20.059999999999999</v>
      </c>
      <c r="N17" s="5">
        <v>59.869</v>
      </c>
      <c r="O17" s="5">
        <v>12.15</v>
      </c>
      <c r="P17" s="7" t="s">
        <v>17</v>
      </c>
    </row>
    <row r="18" spans="1:16" ht="15.75" customHeight="1" thickBot="1" x14ac:dyDescent="0.2">
      <c r="A18" s="8">
        <v>3</v>
      </c>
      <c r="B18" s="9">
        <v>45316</v>
      </c>
      <c r="C18" s="8">
        <v>0.85599999999999998</v>
      </c>
      <c r="D18" s="8">
        <v>26.681000000000001</v>
      </c>
      <c r="E18" s="8">
        <v>112.64700000000001</v>
      </c>
      <c r="F18" s="8">
        <v>9.1859999999999999</v>
      </c>
      <c r="G18" s="7" t="s">
        <v>22</v>
      </c>
      <c r="J18" s="8">
        <v>3</v>
      </c>
      <c r="K18" s="11" t="s">
        <v>15</v>
      </c>
      <c r="L18" s="8">
        <v>1.109</v>
      </c>
      <c r="M18" s="8">
        <v>23.084</v>
      </c>
      <c r="N18" s="8">
        <v>166.851</v>
      </c>
      <c r="O18" s="8">
        <v>12.71</v>
      </c>
    </row>
    <row r="19" spans="1:16" ht="15.75" customHeight="1" x14ac:dyDescent="0.15">
      <c r="A19" s="2"/>
      <c r="B19" s="10" t="s">
        <v>9</v>
      </c>
      <c r="C19" s="5">
        <f t="shared" ref="C19:F19" si="2">AVERAGE(C16:C18)</f>
        <v>0.94133333333333324</v>
      </c>
      <c r="D19" s="5">
        <f t="shared" si="2"/>
        <v>27.12</v>
      </c>
      <c r="E19" s="5">
        <f t="shared" si="2"/>
        <v>119.80433333333333</v>
      </c>
      <c r="F19" s="5">
        <f t="shared" si="2"/>
        <v>11.084000000000001</v>
      </c>
      <c r="J19" s="2"/>
      <c r="K19" s="12" t="s">
        <v>9</v>
      </c>
      <c r="L19" s="5">
        <f t="shared" ref="L19:O19" si="3">AVERAGE(L16:L18)</f>
        <v>0.9913333333333334</v>
      </c>
      <c r="M19" s="5">
        <f t="shared" si="3"/>
        <v>21.760333333333335</v>
      </c>
      <c r="N19" s="5">
        <f t="shared" si="3"/>
        <v>115.73866666666667</v>
      </c>
      <c r="O19" s="5">
        <f t="shared" si="3"/>
        <v>11.803333333333335</v>
      </c>
    </row>
    <row r="20" spans="1:16" ht="15.75" customHeight="1" x14ac:dyDescent="0.15">
      <c r="A20" s="2"/>
      <c r="B20" s="10" t="s">
        <v>10</v>
      </c>
      <c r="C20" s="5">
        <f t="shared" ref="C20:F20" si="4">STDEV(C16:C18)</f>
        <v>8.6007751588640755E-2</v>
      </c>
      <c r="D20" s="5">
        <f t="shared" si="4"/>
        <v>1.6479541862564024</v>
      </c>
      <c r="E20" s="5">
        <f t="shared" si="4"/>
        <v>6.841592017457141</v>
      </c>
      <c r="F20" s="5">
        <f t="shared" si="4"/>
        <v>4.284816448810842</v>
      </c>
      <c r="J20" s="2"/>
      <c r="K20" s="10" t="s">
        <v>10</v>
      </c>
      <c r="L20" s="5">
        <f t="shared" ref="L20:O20" si="5">STDEV(L16:L18)</f>
        <v>0.1256436760578622</v>
      </c>
      <c r="M20" s="5">
        <f t="shared" si="5"/>
        <v>1.5467877466974371</v>
      </c>
      <c r="N20" s="5">
        <f t="shared" si="5"/>
        <v>53.649429133340568</v>
      </c>
      <c r="O20" s="5">
        <f t="shared" si="5"/>
        <v>1.1209519763724642</v>
      </c>
    </row>
    <row r="21" spans="1:16" ht="15.75" customHeight="1" x14ac:dyDescent="0.15">
      <c r="A21" s="2"/>
      <c r="B21" s="2"/>
      <c r="C21" s="2"/>
      <c r="D21" s="2"/>
      <c r="E21" s="2"/>
      <c r="F21" s="2"/>
      <c r="J21" s="2"/>
      <c r="K21" s="2"/>
      <c r="L21" s="2"/>
      <c r="M21" s="2"/>
      <c r="N21" s="2"/>
      <c r="O21" s="2"/>
    </row>
    <row r="22" spans="1:16" ht="15.75" customHeight="1" x14ac:dyDescent="0.15">
      <c r="A22" s="2"/>
      <c r="B22" s="2"/>
      <c r="C22" s="5" t="s">
        <v>23</v>
      </c>
      <c r="D22" s="5" t="s">
        <v>24</v>
      </c>
      <c r="E22" s="5" t="s">
        <v>25</v>
      </c>
      <c r="F22" s="5" t="s">
        <v>26</v>
      </c>
      <c r="J22" s="2"/>
      <c r="K22" s="2"/>
      <c r="L22" s="5" t="s">
        <v>18</v>
      </c>
      <c r="M22" s="5" t="s">
        <v>19</v>
      </c>
      <c r="N22" s="5" t="s">
        <v>20</v>
      </c>
      <c r="O22" s="5" t="s">
        <v>21</v>
      </c>
    </row>
    <row r="23" spans="1:16" ht="15.75" customHeight="1" x14ac:dyDescent="0.15">
      <c r="A23" s="2"/>
      <c r="B23" s="2"/>
      <c r="C23" s="5">
        <v>1</v>
      </c>
      <c r="D23" s="5">
        <v>27</v>
      </c>
      <c r="E23" s="5">
        <v>120</v>
      </c>
      <c r="F23" s="5">
        <v>11</v>
      </c>
      <c r="J23" s="2"/>
      <c r="K23" s="2"/>
      <c r="L23" s="5">
        <v>1</v>
      </c>
      <c r="M23" s="5">
        <v>22</v>
      </c>
      <c r="N23" s="5">
        <v>120</v>
      </c>
      <c r="O23" s="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21"/>
  <sheetViews>
    <sheetView workbookViewId="0">
      <selection activeCell="K13" sqref="K13"/>
    </sheetView>
  </sheetViews>
  <sheetFormatPr baseColWidth="10" defaultColWidth="12.6640625" defaultRowHeight="15.75" customHeight="1" x14ac:dyDescent="0.15"/>
  <cols>
    <col min="1" max="1" width="13.6640625" customWidth="1"/>
  </cols>
  <sheetData>
    <row r="1" spans="1:13" ht="15.75" customHeight="1" x14ac:dyDescent="0.15">
      <c r="A1" s="1" t="s">
        <v>33</v>
      </c>
      <c r="B1" s="2"/>
      <c r="C1" s="2"/>
      <c r="D1" s="2"/>
      <c r="E1" s="2"/>
      <c r="F1" s="2"/>
      <c r="G1" s="2"/>
      <c r="H1" s="2"/>
    </row>
    <row r="2" spans="1:13" ht="15.75" customHeight="1" x14ac:dyDescent="0.15">
      <c r="A2" s="3" t="s">
        <v>1</v>
      </c>
      <c r="B2" s="4" t="s">
        <v>2</v>
      </c>
      <c r="C2" s="3" t="s">
        <v>3</v>
      </c>
      <c r="D2" s="3" t="s">
        <v>3</v>
      </c>
      <c r="E2" s="29" t="s">
        <v>56</v>
      </c>
      <c r="F2" s="2"/>
      <c r="G2" s="2"/>
      <c r="H2" s="2"/>
    </row>
    <row r="3" spans="1:13" ht="15.75" customHeight="1" x14ac:dyDescent="0.15">
      <c r="A3" s="5">
        <v>1</v>
      </c>
      <c r="B3" s="6">
        <v>45610</v>
      </c>
      <c r="C3" s="5">
        <v>1.887</v>
      </c>
      <c r="D3" s="5">
        <v>30.126000000000001</v>
      </c>
      <c r="E3" s="5">
        <v>10.75</v>
      </c>
      <c r="F3" s="2" t="s">
        <v>34</v>
      </c>
      <c r="G3" s="2"/>
      <c r="H3" s="2"/>
    </row>
    <row r="4" spans="1:13" ht="15.75" customHeight="1" x14ac:dyDescent="0.15">
      <c r="A4" s="5">
        <v>2</v>
      </c>
      <c r="B4" s="6">
        <v>45618</v>
      </c>
      <c r="C4" s="5">
        <v>3.544</v>
      </c>
      <c r="D4" s="5">
        <v>32.429000000000002</v>
      </c>
      <c r="E4" s="5">
        <v>12.17</v>
      </c>
      <c r="F4" s="2"/>
      <c r="G4" s="2"/>
      <c r="H4" s="2"/>
    </row>
    <row r="5" spans="1:13" ht="15.75" customHeight="1" x14ac:dyDescent="0.15">
      <c r="A5" s="8">
        <v>3</v>
      </c>
      <c r="B5" s="9">
        <v>45623</v>
      </c>
      <c r="C5" s="8">
        <v>1.9319999999999999</v>
      </c>
      <c r="D5" s="8">
        <v>30.47</v>
      </c>
      <c r="E5" s="8">
        <v>14.66</v>
      </c>
      <c r="F5" s="2"/>
      <c r="G5" s="2"/>
      <c r="H5" s="2"/>
    </row>
    <row r="6" spans="1:13" ht="15.75" customHeight="1" x14ac:dyDescent="0.15">
      <c r="A6" s="2"/>
      <c r="B6" s="10" t="s">
        <v>9</v>
      </c>
      <c r="C6" s="5">
        <f t="shared" ref="C6:E6" si="0">AVERAGE(C3:C5)</f>
        <v>2.454333333333333</v>
      </c>
      <c r="D6" s="5">
        <f t="shared" si="0"/>
        <v>31.008333333333336</v>
      </c>
      <c r="E6" s="5">
        <f t="shared" si="0"/>
        <v>12.526666666666666</v>
      </c>
      <c r="F6" s="2"/>
      <c r="G6" s="2"/>
      <c r="H6" s="2"/>
    </row>
    <row r="7" spans="1:13" ht="15.75" customHeight="1" x14ac:dyDescent="0.15">
      <c r="A7" s="2"/>
      <c r="B7" s="10" t="s">
        <v>10</v>
      </c>
      <c r="C7" s="5">
        <f t="shared" ref="C7:E7" si="1">STDEV(C3:C5)</f>
        <v>0.94394720897587048</v>
      </c>
      <c r="D7" s="5">
        <f t="shared" si="1"/>
        <v>1.2422980050428061</v>
      </c>
      <c r="E7" s="5">
        <f t="shared" si="1"/>
        <v>1.9792506999704007</v>
      </c>
      <c r="F7" s="2"/>
      <c r="G7" s="2"/>
      <c r="H7" s="2"/>
    </row>
    <row r="8" spans="1:13" ht="15.75" customHeight="1" x14ac:dyDescent="0.15">
      <c r="A8" s="2"/>
      <c r="B8" s="2"/>
      <c r="C8" s="2"/>
      <c r="D8" s="2"/>
      <c r="E8" s="2"/>
      <c r="F8" s="2"/>
      <c r="G8" s="2"/>
      <c r="H8" s="2"/>
    </row>
    <row r="9" spans="1:13" ht="15.75" customHeight="1" x14ac:dyDescent="0.15">
      <c r="A9" s="2"/>
      <c r="B9" s="2"/>
      <c r="C9" s="5" t="s">
        <v>35</v>
      </c>
      <c r="D9" s="5" t="s">
        <v>36</v>
      </c>
      <c r="E9" s="5" t="s">
        <v>37</v>
      </c>
      <c r="F9" s="2"/>
      <c r="G9" s="2"/>
      <c r="H9" s="2"/>
    </row>
    <row r="10" spans="1:13" ht="15.75" customHeight="1" x14ac:dyDescent="0.15">
      <c r="A10" s="2"/>
      <c r="B10" s="2"/>
      <c r="C10" s="5">
        <v>2.5</v>
      </c>
      <c r="D10" s="5">
        <v>31</v>
      </c>
      <c r="E10" s="5">
        <v>13</v>
      </c>
      <c r="F10" s="2"/>
      <c r="G10" s="2"/>
      <c r="H10" s="2"/>
    </row>
    <row r="11" spans="1:13" ht="15.75" customHeight="1" x14ac:dyDescent="0.15">
      <c r="A11" s="2"/>
      <c r="B11" s="2"/>
      <c r="C11" s="2"/>
      <c r="D11" s="2"/>
      <c r="E11" s="2"/>
      <c r="F11" s="2"/>
      <c r="G11" s="2"/>
      <c r="H11" s="2"/>
    </row>
    <row r="12" spans="1:13" ht="15.75" customHeight="1" x14ac:dyDescent="0.15">
      <c r="A12" s="13" t="s">
        <v>38</v>
      </c>
      <c r="F12" s="13"/>
      <c r="G12" s="13" t="s">
        <v>39</v>
      </c>
    </row>
    <row r="13" spans="1:13" ht="15.75" customHeight="1" x14ac:dyDescent="0.15">
      <c r="A13" s="4" t="s">
        <v>1</v>
      </c>
      <c r="B13" s="3" t="s">
        <v>3</v>
      </c>
      <c r="C13" s="3" t="s">
        <v>3</v>
      </c>
      <c r="D13" s="3" t="s">
        <v>3</v>
      </c>
      <c r="E13" s="29" t="s">
        <v>56</v>
      </c>
      <c r="F13" s="2"/>
      <c r="G13" s="4" t="s">
        <v>1</v>
      </c>
      <c r="H13" s="3" t="s">
        <v>3</v>
      </c>
      <c r="I13" s="3" t="s">
        <v>3</v>
      </c>
      <c r="J13" s="3" t="s">
        <v>3</v>
      </c>
      <c r="K13" s="29" t="s">
        <v>56</v>
      </c>
    </row>
    <row r="14" spans="1:13" ht="15.75" customHeight="1" x14ac:dyDescent="0.15">
      <c r="A14" s="11">
        <v>1</v>
      </c>
      <c r="B14" s="5">
        <v>0.93600000000000005</v>
      </c>
      <c r="C14" s="5">
        <v>26.806999999999999</v>
      </c>
      <c r="D14" s="5">
        <v>281.40600000000001</v>
      </c>
      <c r="E14" s="14">
        <v>10.52</v>
      </c>
      <c r="F14" s="2"/>
      <c r="G14" s="11">
        <v>1</v>
      </c>
      <c r="H14" s="5">
        <v>1</v>
      </c>
      <c r="I14" s="5">
        <v>22.143000000000001</v>
      </c>
      <c r="J14" s="5">
        <v>136.30500000000001</v>
      </c>
      <c r="K14" s="5">
        <v>12.94</v>
      </c>
      <c r="M14" s="15" t="s">
        <v>40</v>
      </c>
    </row>
    <row r="15" spans="1:13" ht="15.75" customHeight="1" x14ac:dyDescent="0.15">
      <c r="A15" s="11">
        <v>2</v>
      </c>
      <c r="B15" s="5">
        <v>0.93</v>
      </c>
      <c r="C15" s="5">
        <v>27.324000000000002</v>
      </c>
      <c r="D15" s="5">
        <v>144.36099999999999</v>
      </c>
      <c r="E15" s="14">
        <v>11.3</v>
      </c>
      <c r="F15" s="2"/>
      <c r="G15" s="11">
        <v>2</v>
      </c>
      <c r="H15" s="5">
        <v>0.83899999999999997</v>
      </c>
      <c r="I15" s="5">
        <v>25.475999999999999</v>
      </c>
      <c r="J15" s="5">
        <v>179.559</v>
      </c>
      <c r="K15" s="14">
        <v>11.83</v>
      </c>
    </row>
    <row r="16" spans="1:13" ht="15.75" customHeight="1" x14ac:dyDescent="0.15">
      <c r="A16" s="16">
        <v>3</v>
      </c>
      <c r="B16" s="8">
        <v>0.86199999999999999</v>
      </c>
      <c r="C16" s="8">
        <v>27.896999999999998</v>
      </c>
      <c r="D16" s="8">
        <v>163.292</v>
      </c>
      <c r="E16" s="17">
        <v>10.88</v>
      </c>
      <c r="F16" s="2"/>
      <c r="G16" s="16">
        <v>3</v>
      </c>
      <c r="H16" s="8">
        <v>0.89800000000000002</v>
      </c>
      <c r="I16" s="8">
        <v>23.995999999999999</v>
      </c>
      <c r="J16" s="8">
        <v>118.254</v>
      </c>
      <c r="K16" s="17">
        <v>11.81</v>
      </c>
    </row>
    <row r="17" spans="1:11" ht="15.75" customHeight="1" x14ac:dyDescent="0.15">
      <c r="A17" s="10" t="s">
        <v>9</v>
      </c>
      <c r="B17" s="5">
        <f t="shared" ref="B17:E17" si="2">AVERAGE(B14:B16)</f>
        <v>0.90933333333333344</v>
      </c>
      <c r="C17" s="5">
        <f t="shared" si="2"/>
        <v>27.342666666666663</v>
      </c>
      <c r="D17" s="5">
        <f t="shared" si="2"/>
        <v>196.35299999999998</v>
      </c>
      <c r="E17" s="5">
        <f t="shared" si="2"/>
        <v>10.9</v>
      </c>
      <c r="F17" s="2"/>
      <c r="G17" s="10" t="s">
        <v>9</v>
      </c>
      <c r="H17" s="5">
        <f t="shared" ref="H17:K17" si="3">AVERAGE(H14:H16)</f>
        <v>0.91233333333333333</v>
      </c>
      <c r="I17" s="5">
        <f t="shared" si="3"/>
        <v>23.871666666666666</v>
      </c>
      <c r="J17" s="5">
        <f t="shared" si="3"/>
        <v>144.70600000000002</v>
      </c>
      <c r="K17" s="5">
        <f t="shared" si="3"/>
        <v>12.193333333333333</v>
      </c>
    </row>
    <row r="18" spans="1:11" ht="15.75" customHeight="1" x14ac:dyDescent="0.15">
      <c r="A18" s="10" t="s">
        <v>10</v>
      </c>
      <c r="B18" s="5">
        <f t="shared" ref="B18:E18" si="4">STDEV(B14:B16)</f>
        <v>4.1101500378128979E-2</v>
      </c>
      <c r="C18" s="5">
        <f t="shared" si="4"/>
        <v>0.54523970263851218</v>
      </c>
      <c r="D18" s="5">
        <f t="shared" si="4"/>
        <v>74.26375493469213</v>
      </c>
      <c r="E18" s="5">
        <f t="shared" si="4"/>
        <v>0.39038442591886324</v>
      </c>
      <c r="F18" s="2"/>
      <c r="G18" s="10" t="s">
        <v>10</v>
      </c>
      <c r="H18" s="5">
        <f t="shared" ref="H18:K18" si="5">STDEV(H14:H16)</f>
        <v>8.1451417012433455E-2</v>
      </c>
      <c r="I18" s="5">
        <f t="shared" si="5"/>
        <v>1.6699749499119234</v>
      </c>
      <c r="J18" s="5">
        <f t="shared" si="5"/>
        <v>31.504100637853401</v>
      </c>
      <c r="K18" s="5">
        <f t="shared" si="5"/>
        <v>0.64670962056655124</v>
      </c>
    </row>
    <row r="19" spans="1:11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1" ht="15.75" customHeight="1" x14ac:dyDescent="0.15">
      <c r="A20" s="2"/>
      <c r="B20" s="5" t="s">
        <v>41</v>
      </c>
      <c r="C20" s="5" t="s">
        <v>42</v>
      </c>
      <c r="D20" s="5" t="s">
        <v>43</v>
      </c>
      <c r="E20" s="5" t="s">
        <v>44</v>
      </c>
      <c r="F20" s="2"/>
      <c r="G20" s="5"/>
      <c r="H20" s="5" t="s">
        <v>45</v>
      </c>
      <c r="I20" s="5" t="s">
        <v>46</v>
      </c>
      <c r="J20" s="5" t="s">
        <v>47</v>
      </c>
      <c r="K20" s="5" t="s">
        <v>48</v>
      </c>
    </row>
    <row r="21" spans="1:11" ht="15.75" customHeight="1" x14ac:dyDescent="0.15">
      <c r="A21" s="2"/>
      <c r="B21" s="5">
        <v>0.9</v>
      </c>
      <c r="C21" s="5">
        <v>27</v>
      </c>
      <c r="D21" s="5">
        <v>200</v>
      </c>
      <c r="E21" s="5">
        <v>11</v>
      </c>
      <c r="F21" s="2"/>
      <c r="G21" s="5"/>
      <c r="H21" s="5">
        <v>0.9</v>
      </c>
      <c r="I21" s="5">
        <v>24</v>
      </c>
      <c r="J21" s="5">
        <v>140</v>
      </c>
      <c r="K21" s="5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6"/>
  <sheetViews>
    <sheetView workbookViewId="0"/>
  </sheetViews>
  <sheetFormatPr baseColWidth="10" defaultColWidth="12.6640625" defaultRowHeight="15.75" customHeight="1" x14ac:dyDescent="0.15"/>
  <sheetData>
    <row r="1" spans="1:6" ht="15.75" customHeight="1" x14ac:dyDescent="0.15">
      <c r="A1" s="5">
        <v>0</v>
      </c>
      <c r="B1" s="5">
        <v>3.1</v>
      </c>
      <c r="C1" s="2" t="s">
        <v>49</v>
      </c>
    </row>
    <row r="2" spans="1:6" ht="15.75" customHeight="1" x14ac:dyDescent="0.15">
      <c r="A2" s="5">
        <v>0.54</v>
      </c>
      <c r="B2" s="5">
        <v>2.5</v>
      </c>
      <c r="C2" s="2"/>
    </row>
    <row r="3" spans="1:6" ht="15.75" customHeight="1" x14ac:dyDescent="0.15">
      <c r="A3" s="5">
        <v>-0.27</v>
      </c>
      <c r="B3" s="5">
        <v>2.1</v>
      </c>
      <c r="C3" s="2"/>
    </row>
    <row r="4" spans="1:6" ht="15.75" customHeight="1" x14ac:dyDescent="0.15">
      <c r="A4" s="5">
        <v>0</v>
      </c>
      <c r="B4" s="5">
        <v>34</v>
      </c>
      <c r="C4" s="2" t="s">
        <v>50</v>
      </c>
    </row>
    <row r="5" spans="1:6" ht="15.75" customHeight="1" x14ac:dyDescent="0.15">
      <c r="A5" s="5">
        <v>0.54</v>
      </c>
      <c r="B5" s="5">
        <v>31</v>
      </c>
      <c r="C5" s="2"/>
    </row>
    <row r="6" spans="1:6" ht="15.75" customHeight="1" x14ac:dyDescent="0.15">
      <c r="A6" s="5">
        <v>-0.27</v>
      </c>
      <c r="B6" s="5">
        <v>27</v>
      </c>
      <c r="C6" s="2"/>
    </row>
    <row r="7" spans="1:6" ht="15.75" customHeight="1" x14ac:dyDescent="0.15">
      <c r="A7" s="5">
        <v>0</v>
      </c>
      <c r="B7" s="5">
        <v>12</v>
      </c>
      <c r="C7" s="2" t="s">
        <v>51</v>
      </c>
    </row>
    <row r="8" spans="1:6" ht="15.75" customHeight="1" x14ac:dyDescent="0.15">
      <c r="A8" s="5">
        <v>0.54</v>
      </c>
      <c r="B8" s="5">
        <v>13</v>
      </c>
      <c r="C8" s="2"/>
    </row>
    <row r="9" spans="1:6" ht="15.75" customHeight="1" x14ac:dyDescent="0.15">
      <c r="A9" s="5">
        <v>-0.27</v>
      </c>
      <c r="B9" s="5">
        <v>7.1</v>
      </c>
      <c r="C9" s="2"/>
    </row>
    <row r="10" spans="1:6" ht="15.75" customHeight="1" x14ac:dyDescent="0.15">
      <c r="D10" s="5"/>
      <c r="E10" s="5"/>
      <c r="F10" s="5"/>
    </row>
    <row r="11" spans="1:6" ht="15.75" customHeight="1" x14ac:dyDescent="0.15">
      <c r="A11" s="18" t="s">
        <v>52</v>
      </c>
      <c r="B11" s="19" t="s">
        <v>49</v>
      </c>
      <c r="C11" s="19" t="s">
        <v>50</v>
      </c>
      <c r="D11" s="20" t="s">
        <v>51</v>
      </c>
    </row>
    <row r="12" spans="1:6" ht="15.75" customHeight="1" x14ac:dyDescent="0.15">
      <c r="A12" s="21" t="s">
        <v>53</v>
      </c>
      <c r="B12" s="22">
        <v>3.1</v>
      </c>
      <c r="C12" s="22">
        <v>34</v>
      </c>
      <c r="D12" s="12">
        <v>12</v>
      </c>
    </row>
    <row r="13" spans="1:6" ht="15.75" customHeight="1" x14ac:dyDescent="0.15">
      <c r="A13" s="23" t="s">
        <v>54</v>
      </c>
      <c r="B13" s="2">
        <v>2.5</v>
      </c>
      <c r="C13" s="2">
        <v>27</v>
      </c>
      <c r="D13" s="10">
        <v>13</v>
      </c>
    </row>
    <row r="14" spans="1:6" ht="15.75" customHeight="1" x14ac:dyDescent="0.15">
      <c r="A14" s="24" t="s">
        <v>55</v>
      </c>
      <c r="B14" s="25">
        <v>2.1</v>
      </c>
      <c r="C14" s="25">
        <v>27</v>
      </c>
      <c r="D14" s="26">
        <v>7.1</v>
      </c>
    </row>
    <row r="16" spans="1:6" ht="15.75" customHeight="1" x14ac:dyDescent="0.15">
      <c r="C16" s="5"/>
      <c r="D16" s="5"/>
      <c r="E1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DMBil2-OMe</vt:lpstr>
      <vt:lpstr>DMBil2-H</vt:lpstr>
      <vt:lpstr>DMBil2-CF3</vt:lpstr>
      <vt:lpstr>Hammett vs. Lifetime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Dorsa</cp:lastModifiedBy>
  <dcterms:modified xsi:type="dcterms:W3CDTF">2026-07-31T12:56:39Z</dcterms:modified>
</cp:coreProperties>
</file>