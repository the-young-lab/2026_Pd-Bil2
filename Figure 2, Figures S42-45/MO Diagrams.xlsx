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andreadorsa/Lehigh University Dropbox/Andrea Dorsa/Rosenthal - Young collaboration/2025_04 PdBil2-alkynyl TAS paper/Github Data/Figure 2, Figures S40-42/"/>
    </mc:Choice>
  </mc:AlternateContent>
  <xr:revisionPtr revIDLastSave="0" documentId="8_{96B56992-FCFF-2247-8E5C-0AA371F201C0}" xr6:coauthVersionLast="47" xr6:coauthVersionMax="47" xr10:uidLastSave="{00000000-0000-0000-0000-000000000000}"/>
  <bookViews>
    <workbookView xWindow="-23240" yWindow="3360" windowWidth="21620" windowHeight="15780" activeTab="2" xr2:uid="{00000000-000D-0000-FFFF-FFFF00000000}"/>
  </bookViews>
  <sheets>
    <sheet name="-CF3" sheetId="1" r:id="rId1"/>
    <sheet name="-H" sheetId="2" r:id="rId2"/>
    <sheet name="-OCH3" sheetId="3" r:id="rId3"/>
    <sheet name="Bil1 Pape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  <c r="D9" i="4"/>
  <c r="D8" i="4"/>
  <c r="D7" i="4"/>
  <c r="D6" i="4"/>
  <c r="D5" i="4"/>
  <c r="D4" i="4"/>
  <c r="D3" i="4"/>
  <c r="D2" i="4"/>
  <c r="F21" i="3"/>
  <c r="F20" i="3"/>
  <c r="F19" i="3"/>
  <c r="F18" i="3"/>
  <c r="R17" i="3"/>
  <c r="M17" i="3"/>
  <c r="F17" i="3"/>
  <c r="R16" i="3"/>
  <c r="M16" i="3"/>
  <c r="F16" i="3"/>
  <c r="R15" i="3"/>
  <c r="M15" i="3"/>
  <c r="F15" i="3"/>
  <c r="R14" i="3"/>
  <c r="M14" i="3"/>
  <c r="F14" i="3"/>
  <c r="R13" i="3"/>
  <c r="M13" i="3"/>
  <c r="F13" i="3"/>
  <c r="R12" i="3"/>
  <c r="M12" i="3"/>
  <c r="F12" i="3"/>
  <c r="R11" i="3"/>
  <c r="M11" i="3"/>
  <c r="F11" i="3"/>
  <c r="R10" i="3"/>
  <c r="M10" i="3"/>
  <c r="F10" i="3"/>
  <c r="R9" i="3"/>
  <c r="M9" i="3"/>
  <c r="F9" i="3"/>
  <c r="R8" i="3"/>
  <c r="M8" i="3"/>
  <c r="F8" i="3"/>
  <c r="R7" i="3"/>
  <c r="M7" i="3"/>
  <c r="F7" i="3"/>
  <c r="R6" i="3"/>
  <c r="M6" i="3"/>
  <c r="F6" i="3"/>
  <c r="R5" i="3"/>
  <c r="M5" i="3"/>
  <c r="F5" i="3"/>
  <c r="B5" i="3"/>
  <c r="R4" i="3"/>
  <c r="M4" i="3"/>
  <c r="F4" i="3"/>
  <c r="B4" i="3"/>
  <c r="R3" i="3"/>
  <c r="M3" i="3"/>
  <c r="F3" i="3"/>
  <c r="B3" i="3"/>
  <c r="R2" i="3"/>
  <c r="M2" i="3"/>
  <c r="F2" i="3"/>
  <c r="F21" i="2"/>
  <c r="F20" i="2"/>
  <c r="F19" i="2"/>
  <c r="F18" i="2"/>
  <c r="R17" i="2"/>
  <c r="M17" i="2"/>
  <c r="F17" i="2"/>
  <c r="R16" i="2"/>
  <c r="M16" i="2"/>
  <c r="F16" i="2"/>
  <c r="R15" i="2"/>
  <c r="M15" i="2"/>
  <c r="F15" i="2"/>
  <c r="R14" i="2"/>
  <c r="M14" i="2"/>
  <c r="F14" i="2"/>
  <c r="R13" i="2"/>
  <c r="M13" i="2"/>
  <c r="F13" i="2"/>
  <c r="R12" i="2"/>
  <c r="M12" i="2"/>
  <c r="F12" i="2"/>
  <c r="R11" i="2"/>
  <c r="M11" i="2"/>
  <c r="F11" i="2"/>
  <c r="R10" i="2"/>
  <c r="M10" i="2"/>
  <c r="F10" i="2"/>
  <c r="R9" i="2"/>
  <c r="M9" i="2"/>
  <c r="F9" i="2"/>
  <c r="R8" i="2"/>
  <c r="M8" i="2"/>
  <c r="F8" i="2"/>
  <c r="R7" i="2"/>
  <c r="M7" i="2"/>
  <c r="F7" i="2"/>
  <c r="R6" i="2"/>
  <c r="M6" i="2"/>
  <c r="F6" i="2"/>
  <c r="R5" i="2"/>
  <c r="M5" i="2"/>
  <c r="F5" i="2"/>
  <c r="B5" i="2"/>
  <c r="R4" i="2"/>
  <c r="M4" i="2"/>
  <c r="F4" i="2"/>
  <c r="B4" i="2"/>
  <c r="R3" i="2"/>
  <c r="M3" i="2"/>
  <c r="F3" i="2"/>
  <c r="B3" i="2"/>
  <c r="R2" i="2"/>
  <c r="M2" i="2"/>
  <c r="F2" i="2"/>
  <c r="F21" i="1"/>
  <c r="F20" i="1"/>
  <c r="F19" i="1"/>
  <c r="F18" i="1"/>
  <c r="R17" i="1"/>
  <c r="M17" i="1"/>
  <c r="F17" i="1"/>
  <c r="R16" i="1"/>
  <c r="M16" i="1"/>
  <c r="F16" i="1"/>
  <c r="R15" i="1"/>
  <c r="M15" i="1"/>
  <c r="F15" i="1"/>
  <c r="R14" i="1"/>
  <c r="M14" i="1"/>
  <c r="F14" i="1"/>
  <c r="R13" i="1"/>
  <c r="M13" i="1"/>
  <c r="F13" i="1"/>
  <c r="R12" i="1"/>
  <c r="M12" i="1"/>
  <c r="F12" i="1"/>
  <c r="R11" i="1"/>
  <c r="M11" i="1"/>
  <c r="F11" i="1"/>
  <c r="R10" i="1"/>
  <c r="M10" i="1"/>
  <c r="F10" i="1"/>
  <c r="R9" i="1"/>
  <c r="M9" i="1"/>
  <c r="F9" i="1"/>
  <c r="R8" i="1"/>
  <c r="M8" i="1"/>
  <c r="F8" i="1"/>
  <c r="R7" i="1"/>
  <c r="M7" i="1"/>
  <c r="F7" i="1"/>
  <c r="R6" i="1"/>
  <c r="M6" i="1"/>
  <c r="F6" i="1"/>
  <c r="R5" i="1"/>
  <c r="M5" i="1"/>
  <c r="F5" i="1"/>
  <c r="B5" i="1"/>
  <c r="R4" i="1"/>
  <c r="M4" i="1"/>
  <c r="F4" i="1"/>
  <c r="B4" i="1"/>
  <c r="R3" i="1"/>
  <c r="M3" i="1"/>
  <c r="F3" i="1"/>
  <c r="B3" i="1"/>
  <c r="R2" i="1"/>
  <c r="M2" i="1"/>
  <c r="F2" i="1"/>
</calcChain>
</file>

<file path=xl/sharedStrings.xml><?xml version="1.0" encoding="utf-8"?>
<sst xmlns="http://schemas.openxmlformats.org/spreadsheetml/2006/main" count="94" uniqueCount="27">
  <si>
    <t>Optimized Energies</t>
  </si>
  <si>
    <t>Orbital #</t>
  </si>
  <si>
    <t>Hartrees</t>
  </si>
  <si>
    <t>eV</t>
  </si>
  <si>
    <t>Alpha Orbital #</t>
  </si>
  <si>
    <t>Beta Orbital #</t>
  </si>
  <si>
    <t>keV</t>
  </si>
  <si>
    <t>MOs Display:</t>
  </si>
  <si>
    <t>Red = 220</t>
  </si>
  <si>
    <t>Red = 0</t>
  </si>
  <si>
    <t>(triplets)</t>
  </si>
  <si>
    <t>Green = 0</t>
  </si>
  <si>
    <t>Green = 68</t>
  </si>
  <si>
    <t>(T1 S0 em.)</t>
  </si>
  <si>
    <t>Blue = 0</t>
  </si>
  <si>
    <t>Blue = 255</t>
  </si>
  <si>
    <t>Alpha HOMO</t>
  </si>
  <si>
    <t>Beta HOMO</t>
  </si>
  <si>
    <t># Electrons = 546</t>
  </si>
  <si>
    <t>Alpha LUMO</t>
  </si>
  <si>
    <t>Beta LUMO</t>
  </si>
  <si>
    <t>HOMO</t>
  </si>
  <si>
    <t>LUMO</t>
  </si>
  <si>
    <t xml:space="preserve"># Electrons = 482 </t>
  </si>
  <si>
    <t># Electrons = 514</t>
  </si>
  <si>
    <t>DMBil1 Orbital #</t>
  </si>
  <si>
    <t>TPFPP Orbital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</si>
</sst>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0"/>
      <color rgb="FF000000"/>
      <name val="Arial"/>
      <scheme val="minor"/>
    </font>
    <font>
      <b/>
      <u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theme="4" tint="0.59999389629810485"/>
        <bgColor rgb="FFD9D2E9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2" borderId="0" xfId="0" applyFont="1" applyFill="1" applyAlignment="1">
      <alignment horizontal="right"/>
    </xf>
    <xf numFmtId="0" fontId="2" fillId="3" borderId="0" xfId="0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4" borderId="0" xfId="0" applyFont="1" applyFill="1" applyAlignment="1">
      <alignment horizontal="right"/>
    </xf>
    <xf numFmtId="0" fontId="2" fillId="2" borderId="0" xfId="0" applyFont="1" applyFill="1"/>
    <xf numFmtId="0" fontId="2" fillId="5" borderId="0" xfId="0" applyFont="1" applyFill="1" applyAlignment="1">
      <alignment horizontal="right"/>
    </xf>
    <xf numFmtId="0" fontId="2" fillId="6" borderId="0" xfId="0" applyFont="1" applyFill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37"/>
  <sheetViews>
    <sheetView workbookViewId="0">
      <selection sqref="A1:B1"/>
    </sheetView>
  </sheetViews>
  <sheetFormatPr baseColWidth="10" defaultColWidth="12.6640625" defaultRowHeight="15.75" customHeight="1" x14ac:dyDescent="0.15"/>
  <sheetData>
    <row r="1" spans="1:22" ht="15.75" customHeight="1" x14ac:dyDescent="0.15">
      <c r="A1" s="13" t="s">
        <v>0</v>
      </c>
      <c r="B1" s="14"/>
      <c r="C1" s="1"/>
      <c r="D1" s="1" t="s">
        <v>1</v>
      </c>
      <c r="E1" s="1" t="s">
        <v>2</v>
      </c>
      <c r="F1" s="1" t="s">
        <v>3</v>
      </c>
      <c r="G1" s="2"/>
      <c r="H1" s="2"/>
      <c r="I1" s="2"/>
      <c r="J1" s="2"/>
      <c r="K1" s="1" t="s">
        <v>4</v>
      </c>
      <c r="L1" s="1" t="s">
        <v>2</v>
      </c>
      <c r="M1" s="1" t="s">
        <v>3</v>
      </c>
      <c r="N1" s="2"/>
      <c r="O1" s="2"/>
      <c r="P1" s="1" t="s">
        <v>5</v>
      </c>
      <c r="Q1" s="1" t="s">
        <v>2</v>
      </c>
      <c r="R1" s="1" t="s">
        <v>3</v>
      </c>
      <c r="S1" s="2"/>
      <c r="T1" s="2"/>
      <c r="U1" s="2"/>
      <c r="V1" s="2"/>
    </row>
    <row r="2" spans="1:22" ht="15.75" customHeight="1" x14ac:dyDescent="0.15">
      <c r="A2" s="1" t="s">
        <v>2</v>
      </c>
      <c r="B2" s="1" t="s">
        <v>6</v>
      </c>
      <c r="C2" s="2"/>
      <c r="D2" s="3">
        <v>250</v>
      </c>
      <c r="E2" s="3">
        <v>-0.24948999999999999</v>
      </c>
      <c r="F2" s="4">
        <f t="shared" ref="F2:F21" si="0">(E2*27.2114)</f>
        <v>-6.7889721859999996</v>
      </c>
      <c r="G2" s="2"/>
      <c r="H2" s="2" t="s">
        <v>7</v>
      </c>
      <c r="I2" s="2"/>
      <c r="J2" s="2"/>
      <c r="K2" s="3">
        <v>253</v>
      </c>
      <c r="L2" s="3">
        <v>-0.23393</v>
      </c>
      <c r="M2" s="4">
        <f t="shared" ref="M2:M17" si="1">(L2*27.2114)</f>
        <v>-6.3655628020000004</v>
      </c>
      <c r="N2" s="2"/>
      <c r="O2" s="2"/>
      <c r="P2" s="3">
        <v>251</v>
      </c>
      <c r="Q2" s="3">
        <v>-0.24018</v>
      </c>
      <c r="R2" s="4">
        <f t="shared" ref="R2:R17" si="2">(Q2*27.2114)</f>
        <v>-6.5356340520000007</v>
      </c>
      <c r="S2" s="2"/>
      <c r="T2" s="2"/>
      <c r="U2" s="2"/>
      <c r="V2" s="2"/>
    </row>
    <row r="3" spans="1:22" ht="15.75" customHeight="1" x14ac:dyDescent="0.15">
      <c r="A3" s="3">
        <v>-3900.3466490000001</v>
      </c>
      <c r="B3" s="5">
        <f t="shared" ref="B3:B5" si="3">(A3*27.2114)/1000</f>
        <v>-106.13389280459862</v>
      </c>
      <c r="C3" s="2"/>
      <c r="D3" s="3">
        <v>251</v>
      </c>
      <c r="E3" s="3">
        <v>-0.24118000000000001</v>
      </c>
      <c r="F3" s="4">
        <f t="shared" si="0"/>
        <v>-6.5628454520000004</v>
      </c>
      <c r="G3" s="2"/>
      <c r="H3" s="2" t="s">
        <v>8</v>
      </c>
      <c r="I3" s="2" t="s">
        <v>9</v>
      </c>
      <c r="J3" s="2"/>
      <c r="K3" s="3">
        <v>254</v>
      </c>
      <c r="L3" s="3">
        <v>-0.22825999999999999</v>
      </c>
      <c r="M3" s="4">
        <f t="shared" si="1"/>
        <v>-6.2112741639999998</v>
      </c>
      <c r="N3" s="2"/>
      <c r="O3" s="2"/>
      <c r="P3" s="3">
        <v>252</v>
      </c>
      <c r="Q3" s="3">
        <v>-0.23551</v>
      </c>
      <c r="R3" s="4">
        <f t="shared" si="2"/>
        <v>-6.4085568139999998</v>
      </c>
      <c r="S3" s="2"/>
      <c r="T3" s="2"/>
      <c r="U3" s="2"/>
      <c r="V3" s="2"/>
    </row>
    <row r="4" spans="1:22" ht="15.75" customHeight="1" x14ac:dyDescent="0.15">
      <c r="A4" s="3">
        <v>-3900.293396</v>
      </c>
      <c r="B4" s="3">
        <f t="shared" si="3"/>
        <v>-106.13244371591441</v>
      </c>
      <c r="C4" s="2" t="s">
        <v>10</v>
      </c>
      <c r="D4" s="3">
        <v>252</v>
      </c>
      <c r="E4" s="3">
        <v>-0.24115</v>
      </c>
      <c r="F4" s="4">
        <f t="shared" si="0"/>
        <v>-6.5620291100000001</v>
      </c>
      <c r="G4" s="2"/>
      <c r="H4" s="2" t="s">
        <v>11</v>
      </c>
      <c r="I4" s="2" t="s">
        <v>12</v>
      </c>
      <c r="J4" s="2"/>
      <c r="K4" s="3">
        <v>255</v>
      </c>
      <c r="L4" s="3">
        <v>-0.22169</v>
      </c>
      <c r="M4" s="4">
        <f t="shared" si="1"/>
        <v>-6.0324952660000006</v>
      </c>
      <c r="N4" s="2"/>
      <c r="O4" s="2"/>
      <c r="P4" s="3">
        <v>253</v>
      </c>
      <c r="Q4" s="3">
        <v>-0.2286</v>
      </c>
      <c r="R4" s="4">
        <f t="shared" si="2"/>
        <v>-6.2205260400000002</v>
      </c>
      <c r="S4" s="2"/>
      <c r="T4" s="2"/>
      <c r="U4" s="2"/>
      <c r="V4" s="2"/>
    </row>
    <row r="5" spans="1:22" ht="15.75" customHeight="1" x14ac:dyDescent="0.15">
      <c r="A5" s="2">
        <v>-3900.343472</v>
      </c>
      <c r="B5" s="3">
        <f t="shared" si="3"/>
        <v>-106.1338063539808</v>
      </c>
      <c r="C5" s="2" t="s">
        <v>13</v>
      </c>
      <c r="D5" s="3">
        <v>253</v>
      </c>
      <c r="E5" s="3">
        <v>-0.23122000000000001</v>
      </c>
      <c r="F5" s="4">
        <f t="shared" si="0"/>
        <v>-6.2918199080000008</v>
      </c>
      <c r="G5" s="2"/>
      <c r="H5" s="2" t="s">
        <v>14</v>
      </c>
      <c r="I5" s="2" t="s">
        <v>15</v>
      </c>
      <c r="J5" s="2"/>
      <c r="K5" s="3">
        <v>256</v>
      </c>
      <c r="L5" s="3">
        <v>-0.21984000000000001</v>
      </c>
      <c r="M5" s="4">
        <f t="shared" si="1"/>
        <v>-5.9821541760000008</v>
      </c>
      <c r="N5" s="2"/>
      <c r="O5" s="2"/>
      <c r="P5" s="3">
        <v>254</v>
      </c>
      <c r="Q5" s="3">
        <v>-0.22125</v>
      </c>
      <c r="R5" s="4">
        <f t="shared" si="2"/>
        <v>-6.02052225</v>
      </c>
      <c r="S5" s="2"/>
      <c r="T5" s="2"/>
      <c r="U5" s="2"/>
      <c r="V5" s="2"/>
    </row>
    <row r="6" spans="1:22" ht="15.75" customHeight="1" x14ac:dyDescent="0.15">
      <c r="A6" s="3"/>
      <c r="B6" s="3"/>
      <c r="C6" s="2"/>
      <c r="D6" s="3">
        <v>254</v>
      </c>
      <c r="E6" s="3">
        <v>-0.22944999999999999</v>
      </c>
      <c r="F6" s="4">
        <f t="shared" si="0"/>
        <v>-6.2436557299999995</v>
      </c>
      <c r="G6" s="2"/>
      <c r="H6" s="2"/>
      <c r="I6" s="2"/>
      <c r="J6" s="2"/>
      <c r="K6" s="3">
        <v>257</v>
      </c>
      <c r="L6" s="6">
        <v>-0.21385000000000001</v>
      </c>
      <c r="M6" s="4">
        <f t="shared" si="1"/>
        <v>-5.8191578900000005</v>
      </c>
      <c r="N6" s="2"/>
      <c r="O6" s="2"/>
      <c r="P6" s="3">
        <v>255</v>
      </c>
      <c r="Q6" s="3">
        <v>-0.21839</v>
      </c>
      <c r="R6" s="4">
        <f t="shared" si="2"/>
        <v>-5.9426976460000001</v>
      </c>
      <c r="S6" s="2"/>
      <c r="T6" s="2"/>
      <c r="U6" s="2"/>
      <c r="V6" s="2"/>
    </row>
    <row r="7" spans="1:22" ht="15.75" customHeight="1" x14ac:dyDescent="0.15">
      <c r="A7" s="3"/>
      <c r="B7" s="3"/>
      <c r="C7" s="2"/>
      <c r="D7" s="3">
        <v>255</v>
      </c>
      <c r="E7" s="3">
        <v>-0.22036</v>
      </c>
      <c r="F7" s="4">
        <f t="shared" si="0"/>
        <v>-5.996304104</v>
      </c>
      <c r="G7" s="2"/>
      <c r="H7" s="2"/>
      <c r="I7" s="2"/>
      <c r="J7" s="2"/>
      <c r="K7" s="3">
        <v>258</v>
      </c>
      <c r="L7" s="3">
        <v>-0.20845</v>
      </c>
      <c r="M7" s="4">
        <f t="shared" si="1"/>
        <v>-5.6722163300000004</v>
      </c>
      <c r="N7" s="2"/>
      <c r="O7" s="2"/>
      <c r="P7" s="3">
        <v>256</v>
      </c>
      <c r="Q7" s="6">
        <v>-0.21204999999999999</v>
      </c>
      <c r="R7" s="4">
        <f t="shared" si="2"/>
        <v>-5.7701773699999999</v>
      </c>
      <c r="S7" s="2"/>
      <c r="T7" s="2"/>
      <c r="U7" s="2"/>
      <c r="V7" s="2"/>
    </row>
    <row r="8" spans="1:22" ht="15.75" customHeight="1" x14ac:dyDescent="0.15">
      <c r="A8" s="3"/>
      <c r="B8" s="3"/>
      <c r="C8" s="2"/>
      <c r="D8" s="3">
        <v>256</v>
      </c>
      <c r="E8" s="3">
        <v>-0.21418999999999999</v>
      </c>
      <c r="F8" s="4">
        <f t="shared" si="0"/>
        <v>-5.828409766</v>
      </c>
      <c r="G8" s="2"/>
      <c r="H8" s="2"/>
      <c r="I8" s="2"/>
      <c r="J8" s="2"/>
      <c r="K8" s="3">
        <v>259</v>
      </c>
      <c r="L8" s="3">
        <v>-0.19636000000000001</v>
      </c>
      <c r="M8" s="4">
        <f t="shared" si="1"/>
        <v>-5.3432305040000001</v>
      </c>
      <c r="N8" s="2"/>
      <c r="O8" s="2"/>
      <c r="P8" s="3">
        <v>257</v>
      </c>
      <c r="Q8" s="3">
        <v>-0.20816000000000001</v>
      </c>
      <c r="R8" s="4">
        <f t="shared" si="2"/>
        <v>-5.6643250240000009</v>
      </c>
      <c r="S8" s="2"/>
      <c r="T8" s="2"/>
      <c r="U8" s="2"/>
      <c r="V8" s="2"/>
    </row>
    <row r="9" spans="1:22" ht="15.75" customHeight="1" x14ac:dyDescent="0.15">
      <c r="A9" s="2"/>
      <c r="B9" s="2"/>
      <c r="C9" s="2"/>
      <c r="D9" s="3">
        <v>257</v>
      </c>
      <c r="E9" s="3">
        <v>-0.21071999999999999</v>
      </c>
      <c r="F9" s="4">
        <f t="shared" si="0"/>
        <v>-5.7339862080000001</v>
      </c>
      <c r="G9" s="2"/>
      <c r="H9" s="2"/>
      <c r="I9" s="2"/>
      <c r="J9" s="2" t="s">
        <v>16</v>
      </c>
      <c r="K9" s="7">
        <v>260</v>
      </c>
      <c r="L9" s="7">
        <v>-0.14565</v>
      </c>
      <c r="M9" s="7">
        <f t="shared" si="1"/>
        <v>-3.9633404100000003</v>
      </c>
      <c r="N9" s="2"/>
      <c r="O9" s="2" t="s">
        <v>17</v>
      </c>
      <c r="P9" s="7">
        <v>258</v>
      </c>
      <c r="Q9" s="7">
        <v>-0.19566</v>
      </c>
      <c r="R9" s="7">
        <f t="shared" si="2"/>
        <v>-5.3241825240000002</v>
      </c>
      <c r="S9" s="2"/>
      <c r="T9" s="2"/>
      <c r="U9" s="2"/>
      <c r="V9" s="2"/>
    </row>
    <row r="10" spans="1:22" ht="15.75" customHeight="1" x14ac:dyDescent="0.15">
      <c r="A10" s="2" t="s">
        <v>18</v>
      </c>
      <c r="B10" s="2"/>
      <c r="C10" s="2"/>
      <c r="D10" s="3">
        <v>258</v>
      </c>
      <c r="E10" s="3">
        <v>-0.19783999999999999</v>
      </c>
      <c r="F10" s="4">
        <f t="shared" si="0"/>
        <v>-5.3835033760000002</v>
      </c>
      <c r="G10" s="2"/>
      <c r="H10" s="2"/>
      <c r="I10" s="2"/>
      <c r="J10" s="2" t="s">
        <v>19</v>
      </c>
      <c r="K10" s="7">
        <v>261</v>
      </c>
      <c r="L10" s="7">
        <v>-0.12612999999999999</v>
      </c>
      <c r="M10" s="7">
        <f t="shared" si="1"/>
        <v>-3.4321738819999998</v>
      </c>
      <c r="N10" s="2"/>
      <c r="O10" s="2" t="s">
        <v>20</v>
      </c>
      <c r="P10" s="7">
        <v>259</v>
      </c>
      <c r="Q10" s="7">
        <v>-0.18556</v>
      </c>
      <c r="R10" s="7">
        <f t="shared" si="2"/>
        <v>-5.0493473840000007</v>
      </c>
      <c r="S10" s="2"/>
      <c r="T10" s="2"/>
      <c r="U10" s="2"/>
      <c r="V10" s="2"/>
    </row>
    <row r="11" spans="1:22" ht="15.75" customHeight="1" x14ac:dyDescent="0.15">
      <c r="A11" s="2"/>
      <c r="B11" s="2"/>
      <c r="C11" s="2" t="s">
        <v>21</v>
      </c>
      <c r="D11" s="7">
        <v>259</v>
      </c>
      <c r="E11" s="7">
        <v>-0.19447999999999999</v>
      </c>
      <c r="F11" s="7">
        <f t="shared" si="0"/>
        <v>-5.292073072</v>
      </c>
      <c r="G11" s="2"/>
      <c r="H11" s="2"/>
      <c r="I11" s="2"/>
      <c r="J11" s="2"/>
      <c r="K11" s="3">
        <v>262</v>
      </c>
      <c r="L11" s="3">
        <v>-0.11262</v>
      </c>
      <c r="M11" s="4">
        <f t="shared" si="1"/>
        <v>-3.064547868</v>
      </c>
      <c r="N11" s="2"/>
      <c r="O11" s="2"/>
      <c r="P11" s="3">
        <v>260</v>
      </c>
      <c r="Q11" s="3">
        <v>-0.12601999999999999</v>
      </c>
      <c r="R11" s="4">
        <f t="shared" si="2"/>
        <v>-3.4291806280000001</v>
      </c>
      <c r="S11" s="2"/>
      <c r="T11" s="2"/>
      <c r="U11" s="2"/>
      <c r="V11" s="2"/>
    </row>
    <row r="12" spans="1:22" ht="15.75" customHeight="1" x14ac:dyDescent="0.15">
      <c r="A12" s="2"/>
      <c r="B12" s="2"/>
      <c r="C12" s="2" t="s">
        <v>22</v>
      </c>
      <c r="D12" s="7">
        <v>260</v>
      </c>
      <c r="E12" s="7">
        <v>-0.12567999999999999</v>
      </c>
      <c r="F12" s="7">
        <f t="shared" si="0"/>
        <v>-3.4199287519999997</v>
      </c>
      <c r="G12" s="2"/>
      <c r="H12" s="2"/>
      <c r="I12" s="2"/>
      <c r="J12" s="2"/>
      <c r="K12" s="3">
        <v>263</v>
      </c>
      <c r="L12" s="3">
        <v>-9.078E-2</v>
      </c>
      <c r="M12" s="4">
        <f t="shared" si="1"/>
        <v>-2.4702508920000001</v>
      </c>
      <c r="N12" s="2"/>
      <c r="O12" s="2"/>
      <c r="P12" s="3">
        <v>261</v>
      </c>
      <c r="Q12" s="3">
        <v>-0.11511</v>
      </c>
      <c r="R12" s="4">
        <f t="shared" si="2"/>
        <v>-3.1323042540000001</v>
      </c>
      <c r="S12" s="2"/>
      <c r="T12" s="2"/>
      <c r="U12" s="2"/>
      <c r="V12" s="2"/>
    </row>
    <row r="13" spans="1:22" ht="15.75" customHeight="1" x14ac:dyDescent="0.15">
      <c r="A13" s="2"/>
      <c r="B13" s="2"/>
      <c r="C13" s="2"/>
      <c r="D13" s="3">
        <v>261</v>
      </c>
      <c r="E13" s="3">
        <v>-0.12518000000000001</v>
      </c>
      <c r="F13" s="4">
        <f t="shared" si="0"/>
        <v>-3.4063230520000003</v>
      </c>
      <c r="G13" s="2"/>
      <c r="H13" s="2"/>
      <c r="I13" s="2"/>
      <c r="J13" s="2"/>
      <c r="K13" s="3">
        <v>264</v>
      </c>
      <c r="L13" s="3">
        <v>-8.1100000000000005E-2</v>
      </c>
      <c r="M13" s="4">
        <f t="shared" si="1"/>
        <v>-2.2068445400000001</v>
      </c>
      <c r="N13" s="2"/>
      <c r="O13" s="2"/>
      <c r="P13" s="3">
        <v>262</v>
      </c>
      <c r="Q13" s="3">
        <v>-0.10652</v>
      </c>
      <c r="R13" s="4">
        <f t="shared" si="2"/>
        <v>-2.898558328</v>
      </c>
      <c r="S13" s="2"/>
      <c r="T13" s="2"/>
      <c r="U13" s="2"/>
      <c r="V13" s="2"/>
    </row>
    <row r="14" spans="1:22" ht="15.75" customHeight="1" x14ac:dyDescent="0.15">
      <c r="A14" s="2"/>
      <c r="B14" s="2"/>
      <c r="C14" s="2"/>
      <c r="D14" s="3">
        <v>262</v>
      </c>
      <c r="E14" s="3">
        <v>-0.11079</v>
      </c>
      <c r="F14" s="4">
        <f t="shared" si="0"/>
        <v>-3.014751006</v>
      </c>
      <c r="G14" s="2"/>
      <c r="H14" s="2"/>
      <c r="I14" s="2"/>
      <c r="J14" s="2"/>
      <c r="K14" s="3">
        <v>265</v>
      </c>
      <c r="L14" s="3">
        <v>-5.6669999999999998E-2</v>
      </c>
      <c r="M14" s="4">
        <f t="shared" si="1"/>
        <v>-1.5420700380000001</v>
      </c>
      <c r="N14" s="2"/>
      <c r="O14" s="2"/>
      <c r="P14" s="3">
        <v>263</v>
      </c>
      <c r="Q14" s="3">
        <v>-8.4089999999999998E-2</v>
      </c>
      <c r="R14" s="4">
        <f t="shared" si="2"/>
        <v>-2.288206626</v>
      </c>
      <c r="S14" s="2"/>
      <c r="T14" s="2"/>
      <c r="U14" s="2"/>
      <c r="V14" s="2"/>
    </row>
    <row r="15" spans="1:22" ht="15.75" customHeight="1" x14ac:dyDescent="0.15">
      <c r="A15" s="2"/>
      <c r="B15" s="2"/>
      <c r="C15" s="2"/>
      <c r="D15" s="3">
        <v>263</v>
      </c>
      <c r="E15" s="3">
        <v>-8.133E-2</v>
      </c>
      <c r="F15" s="4">
        <f t="shared" si="0"/>
        <v>-2.2131031619999999</v>
      </c>
      <c r="G15" s="2"/>
      <c r="H15" s="2"/>
      <c r="I15" s="2"/>
      <c r="J15" s="2"/>
      <c r="K15" s="3">
        <v>266</v>
      </c>
      <c r="L15" s="3">
        <v>-5.6050000000000003E-2</v>
      </c>
      <c r="M15" s="4">
        <f t="shared" si="1"/>
        <v>-1.5251989700000002</v>
      </c>
      <c r="N15" s="2"/>
      <c r="O15" s="2"/>
      <c r="P15" s="3">
        <v>264</v>
      </c>
      <c r="Q15" s="3">
        <v>-8.0860000000000001E-2</v>
      </c>
      <c r="R15" s="4">
        <f t="shared" si="2"/>
        <v>-2.2003138040000003</v>
      </c>
      <c r="S15" s="2"/>
      <c r="T15" s="2"/>
      <c r="U15" s="2"/>
      <c r="V15" s="2"/>
    </row>
    <row r="16" spans="1:22" ht="15.75" customHeight="1" x14ac:dyDescent="0.15">
      <c r="A16" s="2"/>
      <c r="B16" s="2"/>
      <c r="C16" s="2"/>
      <c r="D16" s="3">
        <v>264</v>
      </c>
      <c r="E16" s="3">
        <v>-8.0170000000000005E-2</v>
      </c>
      <c r="F16" s="4">
        <f t="shared" si="0"/>
        <v>-2.1815379380000004</v>
      </c>
      <c r="G16" s="2"/>
      <c r="H16" s="2"/>
      <c r="I16" s="2"/>
      <c r="J16" s="2"/>
      <c r="K16" s="3">
        <v>267</v>
      </c>
      <c r="L16" s="3">
        <v>-5.1979999999999998E-2</v>
      </c>
      <c r="M16" s="4">
        <f t="shared" si="1"/>
        <v>-1.414448572</v>
      </c>
      <c r="N16" s="2"/>
      <c r="O16" s="2"/>
      <c r="P16" s="3">
        <v>265</v>
      </c>
      <c r="Q16" s="3">
        <v>-5.5980000000000002E-2</v>
      </c>
      <c r="R16" s="4">
        <f t="shared" si="2"/>
        <v>-1.5232941720000002</v>
      </c>
      <c r="S16" s="2"/>
      <c r="T16" s="2"/>
      <c r="U16" s="2"/>
      <c r="V16" s="2"/>
    </row>
    <row r="17" spans="1:22" ht="15.75" customHeight="1" x14ac:dyDescent="0.15">
      <c r="A17" s="2"/>
      <c r="B17" s="2"/>
      <c r="C17" s="2"/>
      <c r="D17" s="3">
        <v>265</v>
      </c>
      <c r="E17" s="3">
        <v>-5.6410000000000002E-2</v>
      </c>
      <c r="F17" s="4">
        <f t="shared" si="0"/>
        <v>-1.534995074</v>
      </c>
      <c r="G17" s="2"/>
      <c r="H17" s="2"/>
      <c r="I17" s="2"/>
      <c r="J17" s="2"/>
      <c r="K17" s="3">
        <v>268</v>
      </c>
      <c r="L17" s="3">
        <v>-5.1209999999999999E-2</v>
      </c>
      <c r="M17" s="4">
        <f t="shared" si="1"/>
        <v>-1.3934957940000001</v>
      </c>
      <c r="N17" s="2"/>
      <c r="O17" s="2"/>
      <c r="P17" s="3">
        <v>266</v>
      </c>
      <c r="Q17" s="3">
        <v>-5.4829999999999997E-2</v>
      </c>
      <c r="R17" s="4">
        <f t="shared" si="2"/>
        <v>-1.4920010619999999</v>
      </c>
      <c r="S17" s="2"/>
      <c r="T17" s="2"/>
      <c r="U17" s="2"/>
      <c r="V17" s="2"/>
    </row>
    <row r="18" spans="1:22" ht="15.75" customHeight="1" x14ac:dyDescent="0.15">
      <c r="A18" s="2"/>
      <c r="B18" s="2"/>
      <c r="C18" s="2"/>
      <c r="D18" s="3">
        <v>266</v>
      </c>
      <c r="E18" s="3">
        <v>-5.636E-2</v>
      </c>
      <c r="F18" s="4">
        <f t="shared" si="0"/>
        <v>-1.5336345040000001</v>
      </c>
      <c r="G18" s="2"/>
      <c r="H18" s="2"/>
      <c r="I18" s="2"/>
      <c r="J18" s="2"/>
      <c r="K18" s="2"/>
      <c r="L18" s="2"/>
      <c r="M18" s="8"/>
      <c r="N18" s="2"/>
      <c r="O18" s="2"/>
      <c r="P18" s="2"/>
      <c r="Q18" s="2"/>
      <c r="R18" s="8"/>
      <c r="S18" s="2"/>
      <c r="T18" s="2"/>
      <c r="U18" s="2"/>
      <c r="V18" s="2"/>
    </row>
    <row r="19" spans="1:22" ht="15.75" customHeight="1" x14ac:dyDescent="0.15">
      <c r="A19" s="2"/>
      <c r="B19" s="2"/>
      <c r="C19" s="2"/>
      <c r="D19" s="3">
        <v>267</v>
      </c>
      <c r="E19" s="3">
        <v>-5.0849999999999999E-2</v>
      </c>
      <c r="F19" s="4">
        <f t="shared" si="0"/>
        <v>-1.38369969</v>
      </c>
      <c r="G19" s="2"/>
      <c r="H19" s="2"/>
      <c r="I19" s="2"/>
      <c r="J19" s="2"/>
      <c r="K19" s="2"/>
      <c r="L19" s="2"/>
      <c r="M19" s="8"/>
      <c r="N19" s="2"/>
      <c r="O19" s="2"/>
      <c r="P19" s="2"/>
      <c r="Q19" s="2"/>
      <c r="R19" s="8"/>
      <c r="S19" s="2"/>
      <c r="T19" s="2"/>
      <c r="U19" s="2"/>
      <c r="V19" s="2"/>
    </row>
    <row r="20" spans="1:22" ht="15.75" customHeight="1" x14ac:dyDescent="0.15">
      <c r="A20" s="2"/>
      <c r="B20" s="2"/>
      <c r="C20" s="2"/>
      <c r="D20" s="3">
        <v>268</v>
      </c>
      <c r="E20" s="3">
        <v>-5.083E-2</v>
      </c>
      <c r="F20" s="4">
        <f t="shared" si="0"/>
        <v>-1.3831554620000002</v>
      </c>
      <c r="G20" s="2"/>
      <c r="H20" s="2"/>
      <c r="I20" s="2"/>
      <c r="J20" s="2"/>
      <c r="K20" s="2"/>
      <c r="L20" s="2"/>
      <c r="M20" s="8"/>
      <c r="N20" s="2"/>
      <c r="O20" s="2"/>
      <c r="P20" s="2"/>
      <c r="Q20" s="2"/>
      <c r="R20" s="8"/>
      <c r="S20" s="2"/>
      <c r="T20" s="2"/>
      <c r="U20" s="2"/>
      <c r="V20" s="2"/>
    </row>
    <row r="21" spans="1:22" ht="15.75" customHeight="1" x14ac:dyDescent="0.15">
      <c r="A21" s="2"/>
      <c r="B21" s="2"/>
      <c r="C21" s="2"/>
      <c r="D21" s="3">
        <v>269</v>
      </c>
      <c r="E21" s="3">
        <v>-4.5600000000000002E-2</v>
      </c>
      <c r="F21" s="4">
        <f t="shared" si="0"/>
        <v>-1.24083984</v>
      </c>
      <c r="G21" s="2"/>
      <c r="H21" s="2"/>
      <c r="I21" s="2"/>
      <c r="J21" s="2"/>
      <c r="K21" s="2"/>
      <c r="L21" s="2"/>
      <c r="M21" s="8"/>
      <c r="N21" s="2"/>
      <c r="O21" s="2"/>
      <c r="P21" s="2"/>
      <c r="Q21" s="2"/>
      <c r="R21" s="8"/>
      <c r="S21" s="2"/>
      <c r="T21" s="2"/>
      <c r="U21" s="2"/>
      <c r="V21" s="2"/>
    </row>
    <row r="22" spans="1:22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37"/>
  <sheetViews>
    <sheetView workbookViewId="0">
      <selection sqref="A1:B1"/>
    </sheetView>
  </sheetViews>
  <sheetFormatPr baseColWidth="10" defaultColWidth="12.6640625" defaultRowHeight="15.75" customHeight="1" x14ac:dyDescent="0.15"/>
  <sheetData>
    <row r="1" spans="1:22" ht="15.75" customHeight="1" x14ac:dyDescent="0.15">
      <c r="A1" s="13" t="s">
        <v>0</v>
      </c>
      <c r="B1" s="14"/>
      <c r="C1" s="1"/>
      <c r="D1" s="1" t="s">
        <v>1</v>
      </c>
      <c r="E1" s="1" t="s">
        <v>2</v>
      </c>
      <c r="F1" s="1" t="s">
        <v>3</v>
      </c>
      <c r="G1" s="2"/>
      <c r="H1" s="2"/>
      <c r="I1" s="2"/>
      <c r="J1" s="2"/>
      <c r="K1" s="1" t="s">
        <v>4</v>
      </c>
      <c r="L1" s="1" t="s">
        <v>2</v>
      </c>
      <c r="M1" s="1" t="s">
        <v>3</v>
      </c>
      <c r="N1" s="2"/>
      <c r="O1" s="2"/>
      <c r="P1" s="1" t="s">
        <v>5</v>
      </c>
      <c r="Q1" s="1" t="s">
        <v>2</v>
      </c>
      <c r="R1" s="1" t="s">
        <v>3</v>
      </c>
      <c r="S1" s="2"/>
      <c r="T1" s="2"/>
      <c r="U1" s="2"/>
      <c r="V1" s="2"/>
    </row>
    <row r="2" spans="1:22" ht="15.75" customHeight="1" x14ac:dyDescent="0.15">
      <c r="A2" s="1" t="s">
        <v>2</v>
      </c>
      <c r="B2" s="1" t="s">
        <v>6</v>
      </c>
      <c r="C2" s="2"/>
      <c r="D2" s="3">
        <v>218</v>
      </c>
      <c r="E2" s="3">
        <v>-0.24551999999999999</v>
      </c>
      <c r="F2" s="4">
        <f t="shared" ref="F2:F21" si="0">(E2*27.2114)</f>
        <v>-6.6809429280000003</v>
      </c>
      <c r="G2" s="2"/>
      <c r="H2" s="2" t="s">
        <v>7</v>
      </c>
      <c r="I2" s="2"/>
      <c r="J2" s="2"/>
      <c r="K2" s="3">
        <v>221</v>
      </c>
      <c r="L2" s="3">
        <v>-0.2301</v>
      </c>
      <c r="M2" s="4">
        <f t="shared" ref="M2:M17" si="1">(L2*27.2114)</f>
        <v>-6.2613431400000001</v>
      </c>
      <c r="N2" s="2"/>
      <c r="O2" s="2"/>
      <c r="P2" s="3">
        <v>219</v>
      </c>
      <c r="Q2" s="3">
        <v>-0.23866999999999999</v>
      </c>
      <c r="R2" s="4">
        <f t="shared" ref="R2:R17" si="2">(Q2*27.2114)</f>
        <v>-6.4945448380000004</v>
      </c>
      <c r="S2" s="2"/>
      <c r="T2" s="2"/>
      <c r="U2" s="2"/>
      <c r="V2" s="2"/>
    </row>
    <row r="3" spans="1:22" ht="15.75" customHeight="1" x14ac:dyDescent="0.15">
      <c r="A3" s="3">
        <v>-3226.1492669999998</v>
      </c>
      <c r="B3" s="5">
        <f t="shared" ref="B3:B5" si="3">(A3*27.2114)/1000</f>
        <v>-87.788038164043797</v>
      </c>
      <c r="C3" s="2"/>
      <c r="D3" s="3">
        <v>219</v>
      </c>
      <c r="E3" s="3">
        <v>-0.24068999999999999</v>
      </c>
      <c r="F3" s="4">
        <f t="shared" si="0"/>
        <v>-6.5495118659999996</v>
      </c>
      <c r="G3" s="2"/>
      <c r="H3" s="2" t="s">
        <v>8</v>
      </c>
      <c r="I3" s="2" t="s">
        <v>9</v>
      </c>
      <c r="J3" s="2"/>
      <c r="K3" s="3">
        <v>222</v>
      </c>
      <c r="L3" s="3">
        <v>-0.22355</v>
      </c>
      <c r="M3" s="4">
        <f t="shared" si="1"/>
        <v>-6.08310847</v>
      </c>
      <c r="N3" s="2"/>
      <c r="O3" s="2"/>
      <c r="P3" s="3">
        <v>220</v>
      </c>
      <c r="Q3" s="3">
        <v>-0.23469000000000001</v>
      </c>
      <c r="R3" s="4">
        <f t="shared" si="2"/>
        <v>-6.3862434660000007</v>
      </c>
      <c r="S3" s="2"/>
      <c r="T3" s="2"/>
      <c r="U3" s="2"/>
      <c r="V3" s="2"/>
    </row>
    <row r="4" spans="1:22" ht="15.75" customHeight="1" x14ac:dyDescent="0.15">
      <c r="A4" s="3">
        <v>-3226.0977360000002</v>
      </c>
      <c r="B4" s="3">
        <f t="shared" si="3"/>
        <v>-87.786635933390414</v>
      </c>
      <c r="C4" s="2" t="s">
        <v>10</v>
      </c>
      <c r="D4" s="3">
        <v>220</v>
      </c>
      <c r="E4" s="3">
        <v>-0.24067</v>
      </c>
      <c r="F4" s="4">
        <f t="shared" si="0"/>
        <v>-6.5489676379999997</v>
      </c>
      <c r="G4" s="2"/>
      <c r="H4" s="2" t="s">
        <v>11</v>
      </c>
      <c r="I4" s="2" t="s">
        <v>12</v>
      </c>
      <c r="J4" s="2"/>
      <c r="K4" s="3">
        <v>223</v>
      </c>
      <c r="L4" s="3">
        <v>-0.21964</v>
      </c>
      <c r="M4" s="4">
        <f t="shared" si="1"/>
        <v>-5.9767118960000003</v>
      </c>
      <c r="N4" s="2"/>
      <c r="O4" s="2"/>
      <c r="P4" s="3">
        <v>221</v>
      </c>
      <c r="Q4" s="3">
        <v>-0.22463</v>
      </c>
      <c r="R4" s="4">
        <f t="shared" si="2"/>
        <v>-6.112496782</v>
      </c>
      <c r="S4" s="2"/>
      <c r="T4" s="2"/>
      <c r="U4" s="2"/>
      <c r="V4" s="2"/>
    </row>
    <row r="5" spans="1:22" ht="15.75" customHeight="1" x14ac:dyDescent="0.15">
      <c r="A5" s="2">
        <v>-3226.1461899999999</v>
      </c>
      <c r="B5" s="3">
        <f t="shared" si="3"/>
        <v>-87.787954434565989</v>
      </c>
      <c r="C5" s="2" t="s">
        <v>13</v>
      </c>
      <c r="D5" s="3">
        <v>221</v>
      </c>
      <c r="E5" s="3">
        <v>-0.2276</v>
      </c>
      <c r="F5" s="4">
        <f t="shared" si="0"/>
        <v>-6.1933146400000005</v>
      </c>
      <c r="G5" s="2"/>
      <c r="H5" s="2" t="s">
        <v>14</v>
      </c>
      <c r="I5" s="2" t="s">
        <v>15</v>
      </c>
      <c r="J5" s="2"/>
      <c r="K5" s="3">
        <v>224</v>
      </c>
      <c r="L5" s="3">
        <v>-0.21783</v>
      </c>
      <c r="M5" s="4">
        <f t="shared" si="1"/>
        <v>-5.9274592620000002</v>
      </c>
      <c r="N5" s="2"/>
      <c r="O5" s="2"/>
      <c r="P5" s="3">
        <v>222</v>
      </c>
      <c r="Q5" s="3">
        <v>-0.21779000000000001</v>
      </c>
      <c r="R5" s="4">
        <f t="shared" si="2"/>
        <v>-5.9263708060000004</v>
      </c>
      <c r="S5" s="2"/>
      <c r="T5" s="2"/>
      <c r="U5" s="2"/>
      <c r="V5" s="2"/>
    </row>
    <row r="6" spans="1:22" ht="15.75" customHeight="1" x14ac:dyDescent="0.15">
      <c r="A6" s="3"/>
      <c r="B6" s="3"/>
      <c r="C6" s="2"/>
      <c r="D6" s="3">
        <v>222</v>
      </c>
      <c r="E6" s="3">
        <v>-0.22555</v>
      </c>
      <c r="F6" s="4">
        <f t="shared" si="0"/>
        <v>-6.1375312700000002</v>
      </c>
      <c r="G6" s="2"/>
      <c r="H6" s="2"/>
      <c r="I6" s="2"/>
      <c r="J6" s="2"/>
      <c r="K6" s="3">
        <v>225</v>
      </c>
      <c r="L6" s="6">
        <v>-0.21176</v>
      </c>
      <c r="M6" s="4">
        <f t="shared" si="1"/>
        <v>-5.7622860640000004</v>
      </c>
      <c r="N6" s="2"/>
      <c r="O6" s="2"/>
      <c r="P6" s="3">
        <v>223</v>
      </c>
      <c r="Q6" s="3">
        <v>-0.21621000000000001</v>
      </c>
      <c r="R6" s="4">
        <f t="shared" si="2"/>
        <v>-5.883376794000001</v>
      </c>
      <c r="S6" s="2"/>
      <c r="T6" s="2"/>
      <c r="U6" s="2"/>
      <c r="V6" s="2"/>
    </row>
    <row r="7" spans="1:22" ht="15.75" customHeight="1" x14ac:dyDescent="0.15">
      <c r="A7" s="3"/>
      <c r="B7" s="3"/>
      <c r="C7" s="2"/>
      <c r="D7" s="3">
        <v>223</v>
      </c>
      <c r="E7" s="3">
        <v>-0.21934999999999999</v>
      </c>
      <c r="F7" s="4">
        <f t="shared" si="0"/>
        <v>-5.96882059</v>
      </c>
      <c r="G7" s="2"/>
      <c r="H7" s="2"/>
      <c r="I7" s="2"/>
      <c r="J7" s="2"/>
      <c r="K7" s="3">
        <v>226</v>
      </c>
      <c r="L7" s="3">
        <v>-0.20416000000000001</v>
      </c>
      <c r="M7" s="4">
        <f t="shared" si="1"/>
        <v>-5.5554794240000005</v>
      </c>
      <c r="N7" s="2"/>
      <c r="O7" s="2"/>
      <c r="P7" s="3">
        <v>224</v>
      </c>
      <c r="Q7" s="6">
        <v>-0.20954</v>
      </c>
      <c r="R7" s="4">
        <f t="shared" si="2"/>
        <v>-5.7018767560000008</v>
      </c>
      <c r="S7" s="2"/>
      <c r="T7" s="2"/>
      <c r="U7" s="2"/>
      <c r="V7" s="2"/>
    </row>
    <row r="8" spans="1:22" ht="15.75" customHeight="1" x14ac:dyDescent="0.15">
      <c r="A8" s="3"/>
      <c r="B8" s="3"/>
      <c r="C8" s="2"/>
      <c r="D8" s="3">
        <v>224</v>
      </c>
      <c r="E8" s="3">
        <v>-0.21262</v>
      </c>
      <c r="F8" s="4">
        <f t="shared" si="0"/>
        <v>-5.7856878680000001</v>
      </c>
      <c r="G8" s="2"/>
      <c r="H8" s="2"/>
      <c r="I8" s="2"/>
      <c r="J8" s="2"/>
      <c r="K8" s="3">
        <v>227</v>
      </c>
      <c r="L8" s="3">
        <v>-0.19208</v>
      </c>
      <c r="M8" s="4">
        <f t="shared" si="1"/>
        <v>-5.2267657120000006</v>
      </c>
      <c r="N8" s="2"/>
      <c r="O8" s="2"/>
      <c r="P8" s="3">
        <v>225</v>
      </c>
      <c r="Q8" s="3">
        <v>-0.20610999999999999</v>
      </c>
      <c r="R8" s="4">
        <f t="shared" si="2"/>
        <v>-5.6085416539999997</v>
      </c>
      <c r="S8" s="2"/>
      <c r="T8" s="2"/>
      <c r="U8" s="2"/>
      <c r="V8" s="2"/>
    </row>
    <row r="9" spans="1:22" ht="15.75" customHeight="1" x14ac:dyDescent="0.15">
      <c r="A9" s="2"/>
      <c r="B9" s="2"/>
      <c r="C9" s="2"/>
      <c r="D9" s="3">
        <v>225</v>
      </c>
      <c r="E9" s="3">
        <v>-0.20871000000000001</v>
      </c>
      <c r="F9" s="4">
        <f t="shared" si="0"/>
        <v>-5.6792912940000004</v>
      </c>
      <c r="G9" s="2"/>
      <c r="H9" s="2"/>
      <c r="I9" s="2"/>
      <c r="J9" s="2" t="s">
        <v>16</v>
      </c>
      <c r="K9" s="7">
        <v>228</v>
      </c>
      <c r="L9" s="7">
        <v>-0.14274999999999999</v>
      </c>
      <c r="M9" s="7">
        <f t="shared" si="1"/>
        <v>-3.8844273499999997</v>
      </c>
      <c r="N9" s="2"/>
      <c r="O9" s="2" t="s">
        <v>17</v>
      </c>
      <c r="P9" s="7">
        <v>226</v>
      </c>
      <c r="Q9" s="7">
        <v>-0.19137000000000001</v>
      </c>
      <c r="R9" s="7">
        <f t="shared" si="2"/>
        <v>-5.2074456180000004</v>
      </c>
      <c r="S9" s="2"/>
      <c r="T9" s="2"/>
      <c r="U9" s="2"/>
      <c r="V9" s="2"/>
    </row>
    <row r="10" spans="1:22" ht="15.75" customHeight="1" x14ac:dyDescent="0.15">
      <c r="A10" s="2" t="s">
        <v>23</v>
      </c>
      <c r="B10" s="2"/>
      <c r="C10" s="2"/>
      <c r="D10" s="3">
        <v>226</v>
      </c>
      <c r="E10" s="3">
        <v>-0.19356000000000001</v>
      </c>
      <c r="F10" s="4">
        <f t="shared" si="0"/>
        <v>-5.2670385840000007</v>
      </c>
      <c r="G10" s="2"/>
      <c r="H10" s="2"/>
      <c r="I10" s="2"/>
      <c r="J10" s="2" t="s">
        <v>19</v>
      </c>
      <c r="K10" s="7">
        <v>229</v>
      </c>
      <c r="L10" s="7">
        <v>-0.12393</v>
      </c>
      <c r="M10" s="7">
        <f t="shared" si="1"/>
        <v>-3.372308802</v>
      </c>
      <c r="N10" s="2"/>
      <c r="O10" s="2" t="s">
        <v>20</v>
      </c>
      <c r="P10" s="7">
        <v>227</v>
      </c>
      <c r="Q10" s="7">
        <v>-0.18243999999999999</v>
      </c>
      <c r="R10" s="7">
        <f t="shared" si="2"/>
        <v>-4.9644478159999998</v>
      </c>
      <c r="S10" s="2"/>
      <c r="T10" s="2"/>
      <c r="U10" s="2"/>
      <c r="V10" s="2"/>
    </row>
    <row r="11" spans="1:22" ht="15.75" customHeight="1" x14ac:dyDescent="0.15">
      <c r="A11" s="2"/>
      <c r="B11" s="2"/>
      <c r="C11" s="2" t="s">
        <v>21</v>
      </c>
      <c r="D11" s="7">
        <v>227</v>
      </c>
      <c r="E11" s="7">
        <v>-0.19064</v>
      </c>
      <c r="F11" s="7">
        <f t="shared" si="0"/>
        <v>-5.1875812960000003</v>
      </c>
      <c r="G11" s="2"/>
      <c r="H11" s="2"/>
      <c r="I11" s="2"/>
      <c r="J11" s="2"/>
      <c r="K11" s="3">
        <v>230</v>
      </c>
      <c r="L11" s="3">
        <v>-0.11070000000000001</v>
      </c>
      <c r="M11" s="4">
        <f t="shared" si="1"/>
        <v>-3.0123019800000002</v>
      </c>
      <c r="N11" s="2"/>
      <c r="O11" s="2"/>
      <c r="P11" s="3">
        <v>228</v>
      </c>
      <c r="Q11" s="3">
        <v>-0.12381</v>
      </c>
      <c r="R11" s="4">
        <f t="shared" si="2"/>
        <v>-3.3690434340000004</v>
      </c>
      <c r="S11" s="2"/>
      <c r="T11" s="2"/>
      <c r="U11" s="2"/>
      <c r="V11" s="2"/>
    </row>
    <row r="12" spans="1:22" ht="15.75" customHeight="1" x14ac:dyDescent="0.15">
      <c r="A12" s="2"/>
      <c r="B12" s="2"/>
      <c r="C12" s="2" t="s">
        <v>22</v>
      </c>
      <c r="D12" s="7">
        <v>228</v>
      </c>
      <c r="E12" s="7">
        <v>-0.12391000000000001</v>
      </c>
      <c r="F12" s="7">
        <f t="shared" si="0"/>
        <v>-3.3717645740000002</v>
      </c>
      <c r="G12" s="2"/>
      <c r="H12" s="2"/>
      <c r="I12" s="2"/>
      <c r="J12" s="2"/>
      <c r="K12" s="3">
        <v>231</v>
      </c>
      <c r="L12" s="3">
        <v>-8.0399999999999999E-2</v>
      </c>
      <c r="M12" s="4">
        <f t="shared" si="1"/>
        <v>-2.1877965600000002</v>
      </c>
      <c r="N12" s="2"/>
      <c r="O12" s="2"/>
      <c r="P12" s="3">
        <v>229</v>
      </c>
      <c r="Q12" s="3">
        <v>-0.11287</v>
      </c>
      <c r="R12" s="4">
        <f t="shared" si="2"/>
        <v>-3.0713507180000001</v>
      </c>
      <c r="S12" s="2"/>
      <c r="T12" s="2"/>
      <c r="U12" s="2"/>
      <c r="V12" s="2"/>
    </row>
    <row r="13" spans="1:22" ht="15.75" customHeight="1" x14ac:dyDescent="0.15">
      <c r="A13" s="2"/>
      <c r="B13" s="2"/>
      <c r="C13" s="2"/>
      <c r="D13" s="3">
        <v>229</v>
      </c>
      <c r="E13" s="3">
        <v>-0.12342</v>
      </c>
      <c r="F13" s="4">
        <f t="shared" si="0"/>
        <v>-3.3584309880000003</v>
      </c>
      <c r="G13" s="2"/>
      <c r="H13" s="2"/>
      <c r="I13" s="2"/>
      <c r="J13" s="2"/>
      <c r="K13" s="3">
        <v>232</v>
      </c>
      <c r="L13" s="3">
        <v>-6.7299999999999999E-2</v>
      </c>
      <c r="M13" s="4">
        <f t="shared" si="1"/>
        <v>-1.8313272200000001</v>
      </c>
      <c r="N13" s="2"/>
      <c r="O13" s="2"/>
      <c r="P13" s="3">
        <v>230</v>
      </c>
      <c r="Q13" s="3">
        <v>-0.10417999999999999</v>
      </c>
      <c r="R13" s="4">
        <f t="shared" si="2"/>
        <v>-2.8348836519999998</v>
      </c>
      <c r="S13" s="2"/>
      <c r="T13" s="2"/>
      <c r="U13" s="2"/>
      <c r="V13" s="2"/>
    </row>
    <row r="14" spans="1:22" ht="15.75" customHeight="1" x14ac:dyDescent="0.15">
      <c r="A14" s="2"/>
      <c r="B14" s="2"/>
      <c r="C14" s="2"/>
      <c r="D14" s="3">
        <v>230</v>
      </c>
      <c r="E14" s="3">
        <v>-0.10938000000000001</v>
      </c>
      <c r="F14" s="4">
        <f t="shared" si="0"/>
        <v>-2.9763829320000004</v>
      </c>
      <c r="G14" s="2"/>
      <c r="H14" s="2"/>
      <c r="I14" s="2"/>
      <c r="J14" s="2"/>
      <c r="K14" s="3">
        <v>233</v>
      </c>
      <c r="L14" s="3">
        <v>-5.5149999999999998E-2</v>
      </c>
      <c r="M14" s="4">
        <f t="shared" si="1"/>
        <v>-1.5007087100000001</v>
      </c>
      <c r="N14" s="2"/>
      <c r="O14" s="2"/>
      <c r="P14" s="3">
        <v>231</v>
      </c>
      <c r="Q14" s="3">
        <v>-7.2319999999999995E-2</v>
      </c>
      <c r="R14" s="4">
        <f t="shared" si="2"/>
        <v>-1.9679284479999999</v>
      </c>
      <c r="S14" s="2"/>
      <c r="T14" s="2"/>
      <c r="U14" s="2"/>
      <c r="V14" s="2"/>
    </row>
    <row r="15" spans="1:22" ht="15.75" customHeight="1" x14ac:dyDescent="0.15">
      <c r="A15" s="2"/>
      <c r="B15" s="2"/>
      <c r="C15" s="2"/>
      <c r="D15" s="3">
        <v>231</v>
      </c>
      <c r="E15" s="3">
        <v>-6.7720000000000002E-2</v>
      </c>
      <c r="F15" s="4">
        <f t="shared" si="0"/>
        <v>-1.8427560080000001</v>
      </c>
      <c r="G15" s="2"/>
      <c r="H15" s="2"/>
      <c r="I15" s="2"/>
      <c r="J15" s="2"/>
      <c r="K15" s="3">
        <v>234</v>
      </c>
      <c r="L15" s="3">
        <v>-5.0869999999999999E-2</v>
      </c>
      <c r="M15" s="4">
        <f t="shared" si="1"/>
        <v>-1.3842439180000001</v>
      </c>
      <c r="N15" s="2"/>
      <c r="O15" s="2"/>
      <c r="P15" s="3">
        <v>232</v>
      </c>
      <c r="Q15" s="3">
        <v>-6.694E-2</v>
      </c>
      <c r="R15" s="4">
        <f t="shared" si="2"/>
        <v>-1.8215311160000001</v>
      </c>
      <c r="S15" s="2"/>
      <c r="T15" s="2"/>
      <c r="U15" s="2"/>
      <c r="V15" s="2"/>
    </row>
    <row r="16" spans="1:22" ht="15.75" customHeight="1" x14ac:dyDescent="0.15">
      <c r="A16" s="2"/>
      <c r="B16" s="2"/>
      <c r="C16" s="2"/>
      <c r="D16" s="3">
        <v>232</v>
      </c>
      <c r="E16" s="3">
        <v>-6.608E-2</v>
      </c>
      <c r="F16" s="4">
        <f t="shared" si="0"/>
        <v>-1.7981293120000001</v>
      </c>
      <c r="G16" s="2"/>
      <c r="H16" s="2"/>
      <c r="I16" s="2"/>
      <c r="J16" s="2"/>
      <c r="K16" s="3">
        <v>235</v>
      </c>
      <c r="L16" s="3">
        <v>-4.7719999999999999E-2</v>
      </c>
      <c r="M16" s="4">
        <f t="shared" si="1"/>
        <v>-1.2985280080000001</v>
      </c>
      <c r="N16" s="2"/>
      <c r="O16" s="2"/>
      <c r="P16" s="3">
        <v>233</v>
      </c>
      <c r="Q16" s="3">
        <v>-5.5059999999999998E-2</v>
      </c>
      <c r="R16" s="4">
        <f t="shared" si="2"/>
        <v>-1.498259684</v>
      </c>
      <c r="S16" s="2"/>
      <c r="T16" s="2"/>
      <c r="U16" s="2"/>
      <c r="V16" s="2"/>
    </row>
    <row r="17" spans="1:22" ht="15.75" customHeight="1" x14ac:dyDescent="0.15">
      <c r="A17" s="2"/>
      <c r="B17" s="2"/>
      <c r="C17" s="2"/>
      <c r="D17" s="3">
        <v>233</v>
      </c>
      <c r="E17" s="3">
        <v>-5.5690000000000003E-2</v>
      </c>
      <c r="F17" s="4">
        <f t="shared" si="0"/>
        <v>-1.5154028660000001</v>
      </c>
      <c r="G17" s="2"/>
      <c r="H17" s="2"/>
      <c r="I17" s="2"/>
      <c r="J17" s="2"/>
      <c r="K17" s="3">
        <v>236</v>
      </c>
      <c r="L17" s="3">
        <v>-4.4510000000000001E-2</v>
      </c>
      <c r="M17" s="4">
        <f t="shared" si="1"/>
        <v>-1.2111794140000001</v>
      </c>
      <c r="N17" s="2"/>
      <c r="O17" s="2"/>
      <c r="P17" s="3">
        <v>234</v>
      </c>
      <c r="Q17" s="3">
        <v>-4.0710000000000003E-2</v>
      </c>
      <c r="R17" s="4">
        <f t="shared" si="2"/>
        <v>-1.1077760940000001</v>
      </c>
      <c r="S17" s="2"/>
      <c r="T17" s="2"/>
      <c r="U17" s="2"/>
      <c r="V17" s="2"/>
    </row>
    <row r="18" spans="1:22" ht="15.75" customHeight="1" x14ac:dyDescent="0.15">
      <c r="A18" s="2"/>
      <c r="B18" s="2"/>
      <c r="C18" s="2"/>
      <c r="D18" s="3">
        <v>234</v>
      </c>
      <c r="E18" s="3">
        <v>-5.568E-2</v>
      </c>
      <c r="F18" s="4">
        <f t="shared" si="0"/>
        <v>-1.5151307520000001</v>
      </c>
      <c r="G18" s="2"/>
      <c r="H18" s="2"/>
      <c r="I18" s="2"/>
      <c r="J18" s="2"/>
      <c r="K18" s="2"/>
      <c r="L18" s="2"/>
      <c r="M18" s="8"/>
      <c r="N18" s="2"/>
      <c r="O18" s="2"/>
      <c r="P18" s="2"/>
      <c r="Q18" s="2"/>
      <c r="R18" s="8"/>
      <c r="S18" s="2"/>
      <c r="T18" s="2"/>
      <c r="U18" s="2"/>
      <c r="V18" s="2"/>
    </row>
    <row r="19" spans="1:22" ht="15.75" customHeight="1" x14ac:dyDescent="0.15">
      <c r="A19" s="2"/>
      <c r="B19" s="2"/>
      <c r="C19" s="2"/>
      <c r="D19" s="3">
        <v>235</v>
      </c>
      <c r="E19" s="3">
        <v>-4.5030000000000001E-2</v>
      </c>
      <c r="F19" s="4">
        <f t="shared" si="0"/>
        <v>-1.225329342</v>
      </c>
      <c r="G19" s="2"/>
      <c r="H19" s="2"/>
      <c r="I19" s="2"/>
      <c r="J19" s="2"/>
      <c r="K19" s="2"/>
      <c r="L19" s="2"/>
      <c r="M19" s="8"/>
      <c r="N19" s="2"/>
      <c r="O19" s="2"/>
      <c r="P19" s="2"/>
      <c r="Q19" s="2"/>
      <c r="R19" s="8"/>
      <c r="S19" s="2"/>
      <c r="T19" s="2"/>
      <c r="U19" s="2"/>
      <c r="V19" s="2"/>
    </row>
    <row r="20" spans="1:22" ht="15.75" customHeight="1" x14ac:dyDescent="0.15">
      <c r="A20" s="2"/>
      <c r="B20" s="2"/>
      <c r="C20" s="2"/>
      <c r="D20" s="3">
        <v>236</v>
      </c>
      <c r="E20" s="3">
        <v>-4.5010000000000001E-2</v>
      </c>
      <c r="F20" s="4">
        <f t="shared" si="0"/>
        <v>-1.2247851140000001</v>
      </c>
      <c r="G20" s="2"/>
      <c r="H20" s="2"/>
      <c r="I20" s="2"/>
      <c r="J20" s="2"/>
      <c r="K20" s="2"/>
      <c r="L20" s="2"/>
      <c r="M20" s="8"/>
      <c r="N20" s="2"/>
      <c r="O20" s="2"/>
      <c r="P20" s="2"/>
      <c r="Q20" s="2"/>
      <c r="R20" s="8"/>
      <c r="S20" s="2"/>
      <c r="T20" s="2"/>
      <c r="U20" s="2"/>
      <c r="V20" s="2"/>
    </row>
    <row r="21" spans="1:22" ht="15.75" customHeight="1" x14ac:dyDescent="0.15">
      <c r="A21" s="2"/>
      <c r="B21" s="2"/>
      <c r="C21" s="2"/>
      <c r="D21" s="3">
        <v>237</v>
      </c>
      <c r="E21" s="3">
        <v>-4.0059999999999998E-2</v>
      </c>
      <c r="F21" s="4">
        <f t="shared" si="0"/>
        <v>-1.0900886839999999</v>
      </c>
      <c r="G21" s="2"/>
      <c r="H21" s="2"/>
      <c r="I21" s="2"/>
      <c r="J21" s="2"/>
      <c r="K21" s="2"/>
      <c r="L21" s="2"/>
      <c r="M21" s="8"/>
      <c r="N21" s="2"/>
      <c r="O21" s="2"/>
      <c r="P21" s="2"/>
      <c r="Q21" s="2"/>
      <c r="R21" s="8"/>
      <c r="S21" s="2"/>
      <c r="T21" s="2"/>
      <c r="U21" s="2"/>
      <c r="V21" s="2"/>
    </row>
    <row r="22" spans="1:22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S37"/>
  <sheetViews>
    <sheetView tabSelected="1" workbookViewId="0">
      <selection activeCell="H9" sqref="H9"/>
    </sheetView>
  </sheetViews>
  <sheetFormatPr baseColWidth="10" defaultColWidth="12.6640625" defaultRowHeight="15.75" customHeight="1" x14ac:dyDescent="0.15"/>
  <sheetData>
    <row r="1" spans="1:19" ht="15.75" customHeight="1" x14ac:dyDescent="0.15">
      <c r="A1" s="13" t="s">
        <v>0</v>
      </c>
      <c r="B1" s="14"/>
      <c r="C1" s="1"/>
      <c r="D1" s="1" t="s">
        <v>1</v>
      </c>
      <c r="E1" s="1" t="s">
        <v>2</v>
      </c>
      <c r="F1" s="1" t="s">
        <v>3</v>
      </c>
      <c r="G1" s="2"/>
      <c r="H1" s="2"/>
      <c r="I1" s="2"/>
      <c r="J1" s="2"/>
      <c r="K1" s="1" t="s">
        <v>4</v>
      </c>
      <c r="L1" s="1" t="s">
        <v>2</v>
      </c>
      <c r="M1" s="1" t="s">
        <v>3</v>
      </c>
      <c r="N1" s="2"/>
      <c r="O1" s="2"/>
      <c r="P1" s="1" t="s">
        <v>5</v>
      </c>
      <c r="Q1" s="1" t="s">
        <v>2</v>
      </c>
      <c r="R1" s="1" t="s">
        <v>3</v>
      </c>
      <c r="S1" s="2"/>
    </row>
    <row r="2" spans="1:19" ht="15.75" customHeight="1" x14ac:dyDescent="0.15">
      <c r="A2" s="1" t="s">
        <v>2</v>
      </c>
      <c r="B2" s="1" t="s">
        <v>6</v>
      </c>
      <c r="C2" s="2"/>
      <c r="D2" s="3">
        <v>234</v>
      </c>
      <c r="E2" s="3">
        <v>-0.24088999999999999</v>
      </c>
      <c r="F2" s="4">
        <f t="shared" ref="F2:F21" si="0">(E2*27.2114)</f>
        <v>-6.554954146</v>
      </c>
      <c r="G2" s="2"/>
      <c r="H2" s="2" t="s">
        <v>7</v>
      </c>
      <c r="I2" s="2"/>
      <c r="J2" s="2"/>
      <c r="K2" s="3">
        <v>237</v>
      </c>
      <c r="L2" s="3">
        <v>-0.22148999999999999</v>
      </c>
      <c r="M2" s="4">
        <f t="shared" ref="M2:M17" si="1">(L2*27.2114)</f>
        <v>-6.0270529860000002</v>
      </c>
      <c r="N2" s="2"/>
      <c r="O2" s="2"/>
      <c r="P2" s="3">
        <v>235</v>
      </c>
      <c r="Q2" s="3">
        <v>-0.23496</v>
      </c>
      <c r="R2" s="4">
        <f t="shared" ref="R2:R17" si="2">(Q2*27.2114)</f>
        <v>-6.3935905440000003</v>
      </c>
      <c r="S2" s="2"/>
    </row>
    <row r="3" spans="1:19" ht="15.75" customHeight="1" x14ac:dyDescent="0.15">
      <c r="A3" s="3">
        <v>-3455.2335629999998</v>
      </c>
      <c r="B3" s="5">
        <f t="shared" ref="B3:B5" si="3">(A3*27.2114)/1000</f>
        <v>-94.021742576218202</v>
      </c>
      <c r="C3" s="2"/>
      <c r="D3" s="3">
        <v>235</v>
      </c>
      <c r="E3" s="3">
        <v>-0.24018999999999999</v>
      </c>
      <c r="F3" s="4">
        <f t="shared" si="0"/>
        <v>-6.5359061660000002</v>
      </c>
      <c r="G3" s="2"/>
      <c r="H3" s="2" t="s">
        <v>8</v>
      </c>
      <c r="I3" s="2" t="s">
        <v>9</v>
      </c>
      <c r="J3" s="2"/>
      <c r="K3" s="3">
        <v>238</v>
      </c>
      <c r="L3" s="3">
        <v>-0.21618999999999999</v>
      </c>
      <c r="M3" s="4">
        <f t="shared" si="1"/>
        <v>-5.8828325660000003</v>
      </c>
      <c r="N3" s="2"/>
      <c r="O3" s="2"/>
      <c r="P3" s="3">
        <v>236</v>
      </c>
      <c r="Q3" s="3">
        <v>-0.23330999999999999</v>
      </c>
      <c r="R3" s="4">
        <f t="shared" si="2"/>
        <v>-6.348691734</v>
      </c>
      <c r="S3" s="2"/>
    </row>
    <row r="4" spans="1:19" ht="15.75" customHeight="1" x14ac:dyDescent="0.15">
      <c r="A4" s="3">
        <v>-3455.1841920000002</v>
      </c>
      <c r="B4" s="3">
        <f t="shared" si="3"/>
        <v>-94.02039912218882</v>
      </c>
      <c r="C4" s="2" t="s">
        <v>10</v>
      </c>
      <c r="D4" s="3">
        <v>236</v>
      </c>
      <c r="E4" s="3">
        <v>-0.23916999999999999</v>
      </c>
      <c r="F4" s="4">
        <f t="shared" si="0"/>
        <v>-6.5081505379999998</v>
      </c>
      <c r="G4" s="2"/>
      <c r="H4" s="2" t="s">
        <v>11</v>
      </c>
      <c r="I4" s="2" t="s">
        <v>12</v>
      </c>
      <c r="J4" s="2"/>
      <c r="K4" s="3">
        <v>239</v>
      </c>
      <c r="L4" s="3">
        <v>-0.21568000000000001</v>
      </c>
      <c r="M4" s="4">
        <f t="shared" si="1"/>
        <v>-5.8689547520000005</v>
      </c>
      <c r="N4" s="2"/>
      <c r="O4" s="2"/>
      <c r="P4" s="3">
        <v>237</v>
      </c>
      <c r="Q4" s="3">
        <v>-0.21693000000000001</v>
      </c>
      <c r="R4" s="4">
        <f t="shared" si="2"/>
        <v>-5.9029690020000007</v>
      </c>
      <c r="S4" s="2"/>
    </row>
    <row r="5" spans="1:19" ht="15.75" customHeight="1" x14ac:dyDescent="0.15">
      <c r="A5" s="2">
        <v>-3455.2285320000001</v>
      </c>
      <c r="B5" s="3">
        <f t="shared" si="3"/>
        <v>-94.021605675664802</v>
      </c>
      <c r="C5" s="2" t="s">
        <v>13</v>
      </c>
      <c r="D5" s="3">
        <v>237</v>
      </c>
      <c r="E5" s="3">
        <v>-0.21922</v>
      </c>
      <c r="F5" s="4">
        <f t="shared" si="0"/>
        <v>-5.9652831080000004</v>
      </c>
      <c r="G5" s="2"/>
      <c r="H5" s="2" t="s">
        <v>14</v>
      </c>
      <c r="I5" s="2" t="s">
        <v>15</v>
      </c>
      <c r="J5" s="2"/>
      <c r="K5" s="3">
        <v>240</v>
      </c>
      <c r="L5" s="3">
        <v>-0.21249999999999999</v>
      </c>
      <c r="M5" s="4">
        <f t="shared" si="1"/>
        <v>-5.7824225</v>
      </c>
      <c r="N5" s="2"/>
      <c r="O5" s="2"/>
      <c r="P5" s="3">
        <v>238</v>
      </c>
      <c r="Q5" s="3">
        <v>-0.21401000000000001</v>
      </c>
      <c r="R5" s="4">
        <f t="shared" si="2"/>
        <v>-5.8235117140000003</v>
      </c>
      <c r="S5" s="2"/>
    </row>
    <row r="6" spans="1:19" ht="15.75" customHeight="1" x14ac:dyDescent="0.15">
      <c r="A6" s="3"/>
      <c r="B6" s="3"/>
      <c r="C6" s="2"/>
      <c r="D6" s="3">
        <v>238</v>
      </c>
      <c r="E6" s="3">
        <v>-0.21811</v>
      </c>
      <c r="F6" s="4">
        <f t="shared" si="0"/>
        <v>-5.9350784540000001</v>
      </c>
      <c r="G6" s="2"/>
      <c r="H6" s="2"/>
      <c r="I6" s="2"/>
      <c r="J6" s="2"/>
      <c r="K6" s="3">
        <v>241</v>
      </c>
      <c r="L6" s="6">
        <v>-0.20771000000000001</v>
      </c>
      <c r="M6" s="4">
        <f t="shared" si="1"/>
        <v>-5.6520798940000008</v>
      </c>
      <c r="N6" s="2"/>
      <c r="O6" s="2"/>
      <c r="P6" s="3">
        <v>239</v>
      </c>
      <c r="Q6" s="3">
        <v>-0.20954</v>
      </c>
      <c r="R6" s="4">
        <f t="shared" si="2"/>
        <v>-5.7018767560000008</v>
      </c>
      <c r="S6" s="2"/>
    </row>
    <row r="7" spans="1:19" ht="15.75" customHeight="1" x14ac:dyDescent="0.15">
      <c r="A7" s="3"/>
      <c r="B7" s="3"/>
      <c r="C7" s="2"/>
      <c r="D7" s="3">
        <v>239</v>
      </c>
      <c r="E7" s="3">
        <v>-0.21531</v>
      </c>
      <c r="F7" s="4">
        <f t="shared" si="0"/>
        <v>-5.8588865340000007</v>
      </c>
      <c r="G7" s="2"/>
      <c r="H7" s="2"/>
      <c r="I7" s="2"/>
      <c r="J7" s="2"/>
      <c r="K7" s="3">
        <v>242</v>
      </c>
      <c r="L7" s="3">
        <v>-0.19505</v>
      </c>
      <c r="M7" s="4">
        <f t="shared" si="1"/>
        <v>-5.3075835700000003</v>
      </c>
      <c r="N7" s="2"/>
      <c r="O7" s="2"/>
      <c r="P7" s="3">
        <v>240</v>
      </c>
      <c r="Q7" s="6">
        <v>-0.20505999999999999</v>
      </c>
      <c r="R7" s="4">
        <f t="shared" si="2"/>
        <v>-5.5799696839999999</v>
      </c>
      <c r="S7" s="2"/>
    </row>
    <row r="8" spans="1:19" ht="15.75" customHeight="1" x14ac:dyDescent="0.15">
      <c r="A8" s="3"/>
      <c r="B8" s="3"/>
      <c r="C8" s="2"/>
      <c r="D8" s="3">
        <v>240</v>
      </c>
      <c r="E8" s="3">
        <v>-0.21132000000000001</v>
      </c>
      <c r="F8" s="4">
        <f t="shared" si="0"/>
        <v>-5.7503130480000006</v>
      </c>
      <c r="G8" s="2"/>
      <c r="H8" s="2"/>
      <c r="I8" s="2"/>
      <c r="J8" s="2"/>
      <c r="K8" s="3">
        <v>243</v>
      </c>
      <c r="L8" s="3">
        <v>-0.18357000000000001</v>
      </c>
      <c r="M8" s="4">
        <f t="shared" si="1"/>
        <v>-4.9951966980000009</v>
      </c>
      <c r="N8" s="2"/>
      <c r="O8" s="2"/>
      <c r="P8" s="3">
        <v>241</v>
      </c>
      <c r="Q8" s="3">
        <v>-0.20116000000000001</v>
      </c>
      <c r="R8" s="4">
        <f t="shared" si="2"/>
        <v>-5.4738452240000006</v>
      </c>
      <c r="S8" s="2"/>
    </row>
    <row r="9" spans="1:19" ht="15.75" customHeight="1" x14ac:dyDescent="0.15">
      <c r="A9" s="2"/>
      <c r="B9" s="2"/>
      <c r="C9" s="2"/>
      <c r="D9" s="3">
        <v>241</v>
      </c>
      <c r="E9" s="3">
        <v>-0.20843999999999999</v>
      </c>
      <c r="F9" s="4">
        <f t="shared" si="0"/>
        <v>-5.671944216</v>
      </c>
      <c r="G9" s="2"/>
      <c r="H9" s="2"/>
      <c r="I9" s="2"/>
      <c r="J9" s="2" t="s">
        <v>16</v>
      </c>
      <c r="K9" s="7">
        <v>244</v>
      </c>
      <c r="L9" s="7">
        <v>-0.13805000000000001</v>
      </c>
      <c r="M9" s="7">
        <f t="shared" si="1"/>
        <v>-3.7565337700000003</v>
      </c>
      <c r="N9" s="2"/>
      <c r="O9" s="2" t="s">
        <v>17</v>
      </c>
      <c r="P9" s="7">
        <v>242</v>
      </c>
      <c r="Q9" s="7">
        <v>-0.18296000000000001</v>
      </c>
      <c r="R9" s="7">
        <f t="shared" si="2"/>
        <v>-4.9785977440000009</v>
      </c>
      <c r="S9" s="2"/>
    </row>
    <row r="10" spans="1:19" ht="15.75" customHeight="1" x14ac:dyDescent="0.15">
      <c r="A10" s="2" t="s">
        <v>24</v>
      </c>
      <c r="B10" s="2"/>
      <c r="C10" s="2"/>
      <c r="D10" s="3">
        <v>242</v>
      </c>
      <c r="E10" s="3">
        <v>-0.18498999999999999</v>
      </c>
      <c r="F10" s="4">
        <f t="shared" si="0"/>
        <v>-5.0338368859999996</v>
      </c>
      <c r="G10" s="2"/>
      <c r="H10" s="2"/>
      <c r="I10" s="2"/>
      <c r="J10" s="2" t="s">
        <v>19</v>
      </c>
      <c r="K10" s="7">
        <v>245</v>
      </c>
      <c r="L10" s="7">
        <v>-0.12111</v>
      </c>
      <c r="M10" s="7">
        <f t="shared" si="1"/>
        <v>-3.2955726539999999</v>
      </c>
      <c r="N10" s="2"/>
      <c r="O10" s="2" t="s">
        <v>20</v>
      </c>
      <c r="P10" s="7">
        <v>243</v>
      </c>
      <c r="Q10" s="7">
        <v>-0.17706</v>
      </c>
      <c r="R10" s="7">
        <f t="shared" si="2"/>
        <v>-4.8180504840000005</v>
      </c>
      <c r="S10" s="2"/>
    </row>
    <row r="11" spans="1:19" ht="15.75" customHeight="1" x14ac:dyDescent="0.15">
      <c r="A11" s="2"/>
      <c r="B11" s="2"/>
      <c r="C11" s="2" t="s">
        <v>21</v>
      </c>
      <c r="D11" s="7">
        <v>243</v>
      </c>
      <c r="E11" s="7">
        <v>-0.18440000000000001</v>
      </c>
      <c r="F11" s="7">
        <f t="shared" si="0"/>
        <v>-5.0177821600000003</v>
      </c>
      <c r="G11" s="2"/>
      <c r="H11" s="2"/>
      <c r="I11" s="2"/>
      <c r="J11" s="2"/>
      <c r="K11" s="3">
        <v>246</v>
      </c>
      <c r="L11" s="3">
        <v>-0.10698000000000001</v>
      </c>
      <c r="M11" s="4">
        <f t="shared" si="1"/>
        <v>-2.9110755720000001</v>
      </c>
      <c r="N11" s="2"/>
      <c r="O11" s="2"/>
      <c r="P11" s="3">
        <v>244</v>
      </c>
      <c r="Q11" s="3">
        <v>-0.12085</v>
      </c>
      <c r="R11" s="4">
        <f t="shared" si="2"/>
        <v>-3.2884976900000003</v>
      </c>
      <c r="S11" s="2"/>
    </row>
    <row r="12" spans="1:19" ht="15.75" customHeight="1" x14ac:dyDescent="0.15">
      <c r="A12" s="2"/>
      <c r="B12" s="2"/>
      <c r="C12" s="2" t="s">
        <v>22</v>
      </c>
      <c r="D12" s="7">
        <v>244</v>
      </c>
      <c r="E12" s="7">
        <v>-0.12634000000000001</v>
      </c>
      <c r="F12" s="7">
        <f t="shared" si="0"/>
        <v>-3.4378882760000002</v>
      </c>
      <c r="G12" s="2"/>
      <c r="H12" s="2"/>
      <c r="I12" s="2"/>
      <c r="J12" s="2"/>
      <c r="K12" s="3">
        <v>247</v>
      </c>
      <c r="L12" s="3">
        <v>-7.5389999999999999E-2</v>
      </c>
      <c r="M12" s="4">
        <f t="shared" si="1"/>
        <v>-2.0514674460000002</v>
      </c>
      <c r="N12" s="2"/>
      <c r="O12" s="2"/>
      <c r="P12" s="3">
        <v>245</v>
      </c>
      <c r="Q12" s="3">
        <v>-0.10936999999999999</v>
      </c>
      <c r="R12" s="4">
        <f t="shared" si="2"/>
        <v>-2.976110818</v>
      </c>
      <c r="S12" s="2"/>
    </row>
    <row r="13" spans="1:19" ht="15.75" customHeight="1" x14ac:dyDescent="0.15">
      <c r="A13" s="2"/>
      <c r="B13" s="2"/>
      <c r="C13" s="2"/>
      <c r="D13" s="3">
        <v>245</v>
      </c>
      <c r="E13" s="3">
        <v>-0.12202</v>
      </c>
      <c r="F13" s="4">
        <f t="shared" si="0"/>
        <v>-3.3203350280000001</v>
      </c>
      <c r="G13" s="2"/>
      <c r="H13" s="2"/>
      <c r="I13" s="2"/>
      <c r="J13" s="2"/>
      <c r="K13" s="3">
        <v>248</v>
      </c>
      <c r="L13" s="3">
        <v>-5.8200000000000002E-2</v>
      </c>
      <c r="M13" s="4">
        <f t="shared" si="1"/>
        <v>-1.5837034800000001</v>
      </c>
      <c r="N13" s="2"/>
      <c r="O13" s="2"/>
      <c r="P13" s="3">
        <v>246</v>
      </c>
      <c r="Q13" s="3">
        <v>-0.10055</v>
      </c>
      <c r="R13" s="4">
        <f t="shared" si="2"/>
        <v>-2.7361062700000001</v>
      </c>
      <c r="S13" s="2"/>
    </row>
    <row r="14" spans="1:19" ht="15.75" customHeight="1" x14ac:dyDescent="0.15">
      <c r="A14" s="2"/>
      <c r="B14" s="2"/>
      <c r="C14" s="2"/>
      <c r="D14" s="3">
        <v>246</v>
      </c>
      <c r="E14" s="3">
        <v>-0.1091</v>
      </c>
      <c r="F14" s="4">
        <f t="shared" si="0"/>
        <v>-2.96876374</v>
      </c>
      <c r="G14" s="2"/>
      <c r="H14" s="2"/>
      <c r="I14" s="2"/>
      <c r="J14" s="2"/>
      <c r="K14" s="3">
        <v>249</v>
      </c>
      <c r="L14" s="3">
        <v>-5.3719999999999997E-2</v>
      </c>
      <c r="M14" s="4">
        <f t="shared" si="1"/>
        <v>-1.4617964079999999</v>
      </c>
      <c r="N14" s="2"/>
      <c r="O14" s="2"/>
      <c r="P14" s="3">
        <v>247</v>
      </c>
      <c r="Q14" s="3">
        <v>-6.5820000000000004E-2</v>
      </c>
      <c r="R14" s="4">
        <f t="shared" si="2"/>
        <v>-1.7910543480000001</v>
      </c>
      <c r="S14" s="2"/>
    </row>
    <row r="15" spans="1:19" ht="15.75" customHeight="1" x14ac:dyDescent="0.15">
      <c r="A15" s="2"/>
      <c r="B15" s="2"/>
      <c r="C15" s="2"/>
      <c r="D15" s="3">
        <v>247</v>
      </c>
      <c r="E15" s="3">
        <v>-5.9360000000000003E-2</v>
      </c>
      <c r="F15" s="4">
        <f t="shared" si="0"/>
        <v>-1.6152687040000002</v>
      </c>
      <c r="G15" s="2"/>
      <c r="H15" s="2"/>
      <c r="I15" s="2"/>
      <c r="J15" s="2"/>
      <c r="K15" s="3">
        <v>250</v>
      </c>
      <c r="L15" s="3">
        <v>-5.314E-2</v>
      </c>
      <c r="M15" s="4">
        <f t="shared" si="1"/>
        <v>-1.4460137960000001</v>
      </c>
      <c r="N15" s="2"/>
      <c r="O15" s="2"/>
      <c r="P15" s="3">
        <v>248</v>
      </c>
      <c r="Q15" s="3">
        <v>-5.7790000000000001E-2</v>
      </c>
      <c r="R15" s="4">
        <f t="shared" si="2"/>
        <v>-1.5725468060000001</v>
      </c>
      <c r="S15" s="2"/>
    </row>
    <row r="16" spans="1:19" ht="15.75" customHeight="1" x14ac:dyDescent="0.15">
      <c r="A16" s="2"/>
      <c r="B16" s="2"/>
      <c r="C16" s="2"/>
      <c r="D16" s="3">
        <v>248</v>
      </c>
      <c r="E16" s="3">
        <v>-5.8340000000000003E-2</v>
      </c>
      <c r="F16" s="4">
        <f t="shared" si="0"/>
        <v>-1.5875130760000002</v>
      </c>
      <c r="G16" s="2"/>
      <c r="H16" s="2"/>
      <c r="I16" s="2"/>
      <c r="J16" s="2"/>
      <c r="K16" s="3">
        <v>251</v>
      </c>
      <c r="L16" s="3">
        <v>-4.9029999999999997E-2</v>
      </c>
      <c r="M16" s="4">
        <f t="shared" si="1"/>
        <v>-1.334174942</v>
      </c>
      <c r="N16" s="2"/>
      <c r="O16" s="2"/>
      <c r="P16" s="3">
        <v>249</v>
      </c>
      <c r="Q16" s="3">
        <v>-5.355E-2</v>
      </c>
      <c r="R16" s="4">
        <f t="shared" si="2"/>
        <v>-1.4571704700000001</v>
      </c>
      <c r="S16" s="2"/>
    </row>
    <row r="17" spans="1:19" ht="15.75" customHeight="1" x14ac:dyDescent="0.15">
      <c r="A17" s="2"/>
      <c r="B17" s="2"/>
      <c r="C17" s="2"/>
      <c r="D17" s="3">
        <v>249</v>
      </c>
      <c r="E17" s="3">
        <v>-5.5149999999999998E-2</v>
      </c>
      <c r="F17" s="4">
        <f t="shared" si="0"/>
        <v>-1.5007087100000001</v>
      </c>
      <c r="G17" s="2"/>
      <c r="H17" s="2"/>
      <c r="I17" s="2"/>
      <c r="J17" s="2"/>
      <c r="K17" s="3">
        <v>252</v>
      </c>
      <c r="L17" s="3">
        <v>-4.3679999999999997E-2</v>
      </c>
      <c r="M17" s="4">
        <f t="shared" si="1"/>
        <v>-1.188593952</v>
      </c>
      <c r="N17" s="2"/>
      <c r="O17" s="2"/>
      <c r="P17" s="3">
        <v>250</v>
      </c>
      <c r="Q17" s="3">
        <v>-4.9320000000000003E-2</v>
      </c>
      <c r="R17" s="4">
        <f t="shared" si="2"/>
        <v>-1.3420662480000001</v>
      </c>
      <c r="S17" s="2"/>
    </row>
    <row r="18" spans="1:19" ht="15.75" customHeight="1" x14ac:dyDescent="0.15">
      <c r="A18" s="2"/>
      <c r="B18" s="2"/>
      <c r="C18" s="2"/>
      <c r="D18" s="3">
        <v>250</v>
      </c>
      <c r="E18" s="3">
        <v>-5.4440000000000002E-2</v>
      </c>
      <c r="F18" s="4">
        <f t="shared" si="0"/>
        <v>-1.481388616</v>
      </c>
      <c r="G18" s="2"/>
      <c r="H18" s="2"/>
      <c r="I18" s="2"/>
      <c r="J18" s="2"/>
      <c r="K18" s="2"/>
      <c r="L18" s="2"/>
      <c r="M18" s="4"/>
      <c r="N18" s="2"/>
      <c r="O18" s="2"/>
      <c r="P18" s="2"/>
      <c r="Q18" s="2"/>
      <c r="R18" s="8"/>
      <c r="S18" s="2"/>
    </row>
    <row r="19" spans="1:19" ht="15.75" customHeight="1" x14ac:dyDescent="0.15">
      <c r="A19" s="2"/>
      <c r="B19" s="2"/>
      <c r="C19" s="2"/>
      <c r="D19" s="3">
        <v>251</v>
      </c>
      <c r="E19" s="3">
        <v>-4.4970000000000003E-2</v>
      </c>
      <c r="F19" s="4">
        <f t="shared" si="0"/>
        <v>-1.2236966580000002</v>
      </c>
      <c r="G19" s="2"/>
      <c r="H19" s="2"/>
      <c r="I19" s="2"/>
      <c r="J19" s="2"/>
      <c r="K19" s="2"/>
      <c r="L19" s="2"/>
      <c r="M19" s="8"/>
      <c r="N19" s="2"/>
      <c r="O19" s="2"/>
      <c r="P19" s="2"/>
      <c r="Q19" s="2"/>
      <c r="R19" s="8"/>
      <c r="S19" s="2"/>
    </row>
    <row r="20" spans="1:19" ht="15.75" customHeight="1" x14ac:dyDescent="0.15">
      <c r="A20" s="2"/>
      <c r="B20" s="2"/>
      <c r="C20" s="2"/>
      <c r="D20" s="3">
        <v>252</v>
      </c>
      <c r="E20" s="3">
        <v>-4.4450000000000003E-2</v>
      </c>
      <c r="F20" s="4">
        <f t="shared" si="0"/>
        <v>-1.2095467300000002</v>
      </c>
      <c r="G20" s="2"/>
      <c r="H20" s="2"/>
      <c r="I20" s="2"/>
      <c r="J20" s="2"/>
      <c r="K20" s="2"/>
      <c r="L20" s="2"/>
      <c r="M20" s="8"/>
      <c r="N20" s="2"/>
      <c r="O20" s="2"/>
      <c r="P20" s="2"/>
      <c r="Q20" s="2"/>
      <c r="R20" s="8"/>
      <c r="S20" s="2"/>
    </row>
    <row r="21" spans="1:19" ht="15.75" customHeight="1" x14ac:dyDescent="0.15">
      <c r="A21" s="2"/>
      <c r="B21" s="2"/>
      <c r="C21" s="2"/>
      <c r="D21" s="3">
        <v>253</v>
      </c>
      <c r="E21" s="3">
        <v>-4.1880000000000001E-2</v>
      </c>
      <c r="F21" s="4">
        <f t="shared" si="0"/>
        <v>-1.139613432</v>
      </c>
      <c r="G21" s="2"/>
      <c r="H21" s="2"/>
      <c r="I21" s="2"/>
      <c r="J21" s="2"/>
      <c r="K21" s="2"/>
      <c r="L21" s="2"/>
      <c r="M21" s="8"/>
      <c r="N21" s="2"/>
      <c r="O21" s="2"/>
      <c r="P21" s="2"/>
      <c r="Q21" s="2"/>
      <c r="R21" s="8"/>
      <c r="S21" s="2"/>
    </row>
    <row r="22" spans="1:19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5DBDB-9C1C-4F4D-9795-9D359DC83056}">
  <dimension ref="A1:I29"/>
  <sheetViews>
    <sheetView workbookViewId="0">
      <selection activeCell="I2" sqref="I2:I9"/>
    </sheetView>
  </sheetViews>
  <sheetFormatPr baseColWidth="10" defaultRowHeight="13" x14ac:dyDescent="0.15"/>
  <cols>
    <col min="1" max="1" width="6.33203125" bestFit="1" customWidth="1"/>
    <col min="2" max="2" width="14.33203125" bestFit="1" customWidth="1"/>
    <col min="3" max="4" width="12.83203125" customWidth="1"/>
    <col min="6" max="6" width="6.33203125" bestFit="1" customWidth="1"/>
    <col min="7" max="7" width="14.1640625" bestFit="1" customWidth="1"/>
    <col min="8" max="9" width="12.83203125" customWidth="1"/>
  </cols>
  <sheetData>
    <row r="1" spans="1:9" x14ac:dyDescent="0.15">
      <c r="A1" s="2"/>
      <c r="B1" s="11" t="s">
        <v>25</v>
      </c>
      <c r="C1" s="1" t="s">
        <v>2</v>
      </c>
      <c r="D1" s="1" t="s">
        <v>3</v>
      </c>
      <c r="F1" s="2"/>
      <c r="G1" s="11" t="s">
        <v>26</v>
      </c>
      <c r="H1" s="1" t="s">
        <v>2</v>
      </c>
      <c r="I1" s="1" t="s">
        <v>3</v>
      </c>
    </row>
    <row r="2" spans="1:9" x14ac:dyDescent="0.15">
      <c r="A2" s="2"/>
      <c r="B2" s="3">
        <v>172</v>
      </c>
      <c r="C2" s="6">
        <v>-0.21074999999999999</v>
      </c>
      <c r="D2" s="3">
        <f t="shared" ref="D2:D9" si="0">(C2*27.2114)</f>
        <v>-5.7348025500000004</v>
      </c>
      <c r="F2" s="2"/>
      <c r="G2" s="3">
        <v>246</v>
      </c>
      <c r="H2" s="6">
        <v>-0.21786</v>
      </c>
      <c r="I2" s="3">
        <f t="shared" ref="I2:I9" si="1">(H2*27.2114)</f>
        <v>-5.9282756040000004</v>
      </c>
    </row>
    <row r="3" spans="1:9" x14ac:dyDescent="0.15">
      <c r="A3" s="2"/>
      <c r="B3" s="3">
        <v>173</v>
      </c>
      <c r="C3" s="3">
        <v>-0.20702999999999999</v>
      </c>
      <c r="D3" s="3">
        <f t="shared" si="0"/>
        <v>-5.6335761419999999</v>
      </c>
      <c r="F3" s="2"/>
      <c r="G3" s="3">
        <v>247</v>
      </c>
      <c r="H3" s="3">
        <v>-0.21784999999999999</v>
      </c>
      <c r="I3" s="3">
        <f t="shared" si="1"/>
        <v>-5.92800349</v>
      </c>
    </row>
    <row r="4" spans="1:9" x14ac:dyDescent="0.15">
      <c r="A4" s="2"/>
      <c r="B4" s="3">
        <v>174</v>
      </c>
      <c r="C4" s="3">
        <v>-0.19964999999999999</v>
      </c>
      <c r="D4" s="3">
        <f t="shared" si="0"/>
        <v>-5.4327560100000003</v>
      </c>
      <c r="F4" s="2"/>
      <c r="G4" s="3">
        <v>248</v>
      </c>
      <c r="H4" s="3">
        <v>-0.20943000000000001</v>
      </c>
      <c r="I4" s="3">
        <f t="shared" si="1"/>
        <v>-5.6988835020000002</v>
      </c>
    </row>
    <row r="5" spans="1:9" x14ac:dyDescent="0.15">
      <c r="A5" s="12" t="s">
        <v>21</v>
      </c>
      <c r="B5" s="9">
        <v>175</v>
      </c>
      <c r="C5" s="9">
        <v>-0.1983</v>
      </c>
      <c r="D5" s="10">
        <f t="shared" si="0"/>
        <v>-5.3960206200000007</v>
      </c>
      <c r="F5" s="12" t="s">
        <v>21</v>
      </c>
      <c r="G5" s="9">
        <v>249</v>
      </c>
      <c r="H5" s="9">
        <v>-0.20684</v>
      </c>
      <c r="I5" s="10">
        <f t="shared" si="1"/>
        <v>-5.6284059759999998</v>
      </c>
    </row>
    <row r="6" spans="1:9" x14ac:dyDescent="0.15">
      <c r="A6" s="12" t="s">
        <v>22</v>
      </c>
      <c r="B6" s="9">
        <v>176</v>
      </c>
      <c r="C6" s="9">
        <v>-0.1226</v>
      </c>
      <c r="D6" s="10">
        <f t="shared" si="0"/>
        <v>-3.3361176400000003</v>
      </c>
      <c r="F6" s="12" t="s">
        <v>22</v>
      </c>
      <c r="G6" s="9">
        <v>250</v>
      </c>
      <c r="H6" s="9">
        <v>-0.12570999999999999</v>
      </c>
      <c r="I6" s="10">
        <f t="shared" si="1"/>
        <v>-3.4207450939999999</v>
      </c>
    </row>
    <row r="7" spans="1:9" x14ac:dyDescent="0.15">
      <c r="A7" s="2"/>
      <c r="B7" s="3">
        <v>177</v>
      </c>
      <c r="C7" s="3">
        <v>-0.11779000000000001</v>
      </c>
      <c r="D7" s="3">
        <f t="shared" si="0"/>
        <v>-3.2052308060000003</v>
      </c>
      <c r="F7" s="2"/>
      <c r="G7" s="3">
        <v>251</v>
      </c>
      <c r="H7" s="3">
        <v>-0.12570000000000001</v>
      </c>
      <c r="I7" s="3">
        <f t="shared" si="1"/>
        <v>-3.4204729800000004</v>
      </c>
    </row>
    <row r="8" spans="1:9" x14ac:dyDescent="0.15">
      <c r="A8" s="2"/>
      <c r="B8" s="3">
        <v>178</v>
      </c>
      <c r="C8" s="3">
        <v>-0.1046</v>
      </c>
      <c r="D8" s="3">
        <f t="shared" si="0"/>
        <v>-2.8463124400000002</v>
      </c>
      <c r="F8" s="2"/>
      <c r="G8" s="3">
        <v>252</v>
      </c>
      <c r="H8" s="3">
        <v>-0.10555</v>
      </c>
      <c r="I8" s="3">
        <f t="shared" si="1"/>
        <v>-2.8721632700000002</v>
      </c>
    </row>
    <row r="9" spans="1:9" x14ac:dyDescent="0.15">
      <c r="A9" s="2"/>
      <c r="B9" s="3">
        <v>179</v>
      </c>
      <c r="C9" s="3">
        <v>-5.4989999999999997E-2</v>
      </c>
      <c r="D9" s="3">
        <f t="shared" si="0"/>
        <v>-1.496354886</v>
      </c>
      <c r="F9" s="2"/>
      <c r="G9" s="3">
        <v>253</v>
      </c>
      <c r="H9" s="3">
        <v>-7.8899999999999998E-2</v>
      </c>
      <c r="I9" s="3">
        <f t="shared" si="1"/>
        <v>-2.1469794599999998</v>
      </c>
    </row>
    <row r="10" spans="1:9" x14ac:dyDescent="0.15">
      <c r="A10" s="2"/>
      <c r="B10" s="2"/>
      <c r="C10" s="2"/>
      <c r="D10" s="3"/>
      <c r="F10" s="2"/>
      <c r="G10" s="2"/>
      <c r="H10" s="2"/>
      <c r="I10" s="3"/>
    </row>
    <row r="11" spans="1:9" x14ac:dyDescent="0.15">
      <c r="A11" s="2"/>
      <c r="B11" s="2"/>
      <c r="C11" s="2"/>
      <c r="D11" s="2"/>
      <c r="F11" s="2"/>
      <c r="G11" s="2"/>
      <c r="H11" s="2"/>
      <c r="I11" s="2"/>
    </row>
    <row r="12" spans="1:9" x14ac:dyDescent="0.15">
      <c r="A12" s="2"/>
      <c r="B12" s="2"/>
      <c r="C12" s="2"/>
      <c r="D12" s="2"/>
      <c r="F12" s="2"/>
      <c r="G12" s="2"/>
      <c r="H12" s="2"/>
      <c r="I12" s="2"/>
    </row>
    <row r="13" spans="1:9" x14ac:dyDescent="0.15">
      <c r="A13" s="2"/>
      <c r="B13" s="2"/>
      <c r="C13" s="2"/>
      <c r="D13" s="2"/>
      <c r="F13" s="2"/>
      <c r="G13" s="2"/>
      <c r="H13" s="2"/>
      <c r="I13" s="2"/>
    </row>
    <row r="14" spans="1:9" x14ac:dyDescent="0.15">
      <c r="A14" s="2"/>
      <c r="B14" s="2"/>
      <c r="C14" s="2"/>
      <c r="D14" s="2"/>
      <c r="F14" s="2"/>
      <c r="G14" s="2"/>
      <c r="H14" s="2"/>
      <c r="I14" s="2"/>
    </row>
    <row r="15" spans="1:9" x14ac:dyDescent="0.15">
      <c r="A15" s="2"/>
      <c r="B15" s="2"/>
      <c r="C15" s="2"/>
      <c r="D15" s="2"/>
      <c r="F15" s="2"/>
      <c r="G15" s="2"/>
      <c r="H15" s="2"/>
      <c r="I15" s="2"/>
    </row>
    <row r="16" spans="1:9" x14ac:dyDescent="0.15">
      <c r="A16" s="2"/>
      <c r="B16" s="2"/>
      <c r="C16" s="2"/>
      <c r="D16" s="2"/>
      <c r="F16" s="2"/>
      <c r="G16" s="2"/>
      <c r="H16" s="2"/>
      <c r="I16" s="2"/>
    </row>
    <row r="17" spans="1:9" x14ac:dyDescent="0.15">
      <c r="A17" s="2"/>
      <c r="B17" s="2"/>
      <c r="C17" s="2"/>
      <c r="D17" s="2"/>
      <c r="F17" s="2"/>
      <c r="G17" s="2"/>
      <c r="H17" s="2"/>
      <c r="I17" s="2"/>
    </row>
    <row r="18" spans="1:9" x14ac:dyDescent="0.15">
      <c r="A18" s="2"/>
      <c r="B18" s="2"/>
      <c r="C18" s="2"/>
      <c r="D18" s="2"/>
      <c r="F18" s="2"/>
      <c r="G18" s="2"/>
      <c r="H18" s="2"/>
      <c r="I18" s="2"/>
    </row>
    <row r="19" spans="1:9" x14ac:dyDescent="0.15">
      <c r="A19" s="2"/>
      <c r="B19" s="2"/>
      <c r="C19" s="2"/>
      <c r="D19" s="2"/>
      <c r="F19" s="2"/>
      <c r="G19" s="2"/>
      <c r="H19" s="2"/>
      <c r="I19" s="2"/>
    </row>
    <row r="20" spans="1:9" x14ac:dyDescent="0.15">
      <c r="A20" s="2"/>
      <c r="B20" s="2"/>
      <c r="C20" s="2"/>
      <c r="D20" s="2"/>
      <c r="F20" s="2"/>
      <c r="G20" s="2"/>
      <c r="H20" s="2"/>
      <c r="I20" s="2"/>
    </row>
    <row r="21" spans="1:9" x14ac:dyDescent="0.15">
      <c r="A21" s="2"/>
      <c r="B21" s="2"/>
      <c r="C21" s="2"/>
      <c r="D21" s="2"/>
      <c r="F21" s="2"/>
      <c r="G21" s="2"/>
      <c r="H21" s="2"/>
      <c r="I21" s="2"/>
    </row>
    <row r="22" spans="1:9" x14ac:dyDescent="0.15">
      <c r="A22" s="2"/>
      <c r="B22" s="2"/>
      <c r="C22" s="2"/>
      <c r="D22" s="2"/>
      <c r="F22" s="2"/>
      <c r="G22" s="2"/>
      <c r="H22" s="2"/>
      <c r="I22" s="2"/>
    </row>
    <row r="23" spans="1:9" x14ac:dyDescent="0.15">
      <c r="A23" s="2"/>
      <c r="B23" s="2"/>
      <c r="C23" s="2"/>
      <c r="D23" s="2"/>
      <c r="F23" s="2"/>
      <c r="G23" s="2"/>
      <c r="H23" s="2"/>
      <c r="I23" s="2"/>
    </row>
    <row r="24" spans="1:9" x14ac:dyDescent="0.15">
      <c r="A24" s="2"/>
      <c r="B24" s="2"/>
      <c r="C24" s="2"/>
      <c r="D24" s="2"/>
      <c r="F24" s="2"/>
      <c r="G24" s="2"/>
      <c r="H24" s="2"/>
      <c r="I24" s="2"/>
    </row>
    <row r="25" spans="1:9" x14ac:dyDescent="0.15">
      <c r="A25" s="2"/>
      <c r="B25" s="2"/>
      <c r="C25" s="2"/>
      <c r="D25" s="2"/>
      <c r="F25" s="2"/>
      <c r="G25" s="2"/>
      <c r="H25" s="2"/>
      <c r="I25" s="2"/>
    </row>
    <row r="26" spans="1:9" x14ac:dyDescent="0.15">
      <c r="A26" s="2"/>
      <c r="B26" s="2"/>
      <c r="C26" s="2"/>
      <c r="D26" s="2"/>
      <c r="F26" s="2"/>
      <c r="G26" s="2"/>
      <c r="H26" s="2"/>
      <c r="I26" s="2"/>
    </row>
    <row r="27" spans="1:9" x14ac:dyDescent="0.15">
      <c r="A27" s="2"/>
      <c r="B27" s="2"/>
      <c r="C27" s="2"/>
      <c r="D27" s="2"/>
      <c r="F27" s="2"/>
      <c r="G27" s="2"/>
      <c r="H27" s="2"/>
      <c r="I27" s="2"/>
    </row>
    <row r="28" spans="1:9" x14ac:dyDescent="0.15">
      <c r="A28" s="2"/>
      <c r="B28" s="2"/>
      <c r="C28" s="2"/>
      <c r="D28" s="2"/>
      <c r="F28" s="2"/>
      <c r="G28" s="2"/>
      <c r="H28" s="2"/>
      <c r="I28" s="2"/>
    </row>
    <row r="29" spans="1:9" x14ac:dyDescent="0.15">
      <c r="A29" s="2"/>
      <c r="B29" s="2"/>
      <c r="C29" s="2"/>
      <c r="D29" s="2"/>
      <c r="F29" s="2"/>
      <c r="G29" s="2"/>
      <c r="H29" s="2"/>
      <c r="I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-CF3</vt:lpstr>
      <vt:lpstr>-H</vt:lpstr>
      <vt:lpstr>-OCH3</vt:lpstr>
      <vt:lpstr>Bil1 Paper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Dorsa</cp:lastModifiedBy>
  <dcterms:created xsi:type="dcterms:W3CDTF">2026-07-30T15:42:03Z</dcterms:created>
  <dcterms:modified xsi:type="dcterms:W3CDTF">2026-07-30T15:42:03Z</dcterms:modified>
</cp:coreProperties>
</file>